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Johnson\Sterling Baird\EBSD\200423_Ni4N5_069_s2\"/>
    </mc:Choice>
  </mc:AlternateContent>
  <bookViews>
    <workbookView xWindow="0" yWindow="0" windowWidth="28800" windowHeight="12435" activeTab="3"/>
  </bookViews>
  <sheets>
    <sheet name="Sheet1" sheetId="1" r:id="rId1"/>
    <sheet name="Sheet1 (2)" sheetId="5" r:id="rId2"/>
    <sheet name="Sheet1 (3)" sheetId="6" r:id="rId3"/>
    <sheet name="tilt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1" l="1"/>
  <c r="A6" i="6"/>
  <c r="A5" i="6"/>
  <c r="A6" i="5"/>
  <c r="A5" i="5"/>
  <c r="A7" i="5" s="1"/>
  <c r="A10" i="5" s="1"/>
  <c r="A6" i="1"/>
  <c r="A5" i="1"/>
  <c r="A7" i="6" l="1"/>
  <c r="A10" i="6" s="1"/>
  <c r="A6" i="4"/>
  <c r="A5" i="4"/>
  <c r="D2" i="4"/>
  <c r="C2" i="4"/>
  <c r="D1" i="4"/>
  <c r="C1" i="4"/>
  <c r="A7" i="4" l="1"/>
  <c r="A8" i="4" s="1"/>
  <c r="A10" i="1"/>
</calcChain>
</file>

<file path=xl/sharedStrings.xml><?xml version="1.0" encoding="utf-8"?>
<sst xmlns="http://schemas.openxmlformats.org/spreadsheetml/2006/main" count="10" uniqueCount="3">
  <si>
    <t>degrees</t>
  </si>
  <si>
    <t>pretilt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</si>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</sst>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Sheet1!$A$1:$D$1</c:f>
              <c:numCache>
                <c:formatCode>General</c:formatCode>
                <c:ptCount val="4"/>
                <c:pt idx="0">
                  <c:v>-2.5573999999999999</c:v>
                </c:pt>
                <c:pt idx="1">
                  <c:v>1.3506</c:v>
                </c:pt>
                <c:pt idx="2">
                  <c:v>3.1480000000000001</c:v>
                </c:pt>
                <c:pt idx="3">
                  <c:v>-1.6508</c:v>
                </c:pt>
              </c:numCache>
            </c:numRef>
          </c:xVal>
          <c:yVal>
            <c:numRef>
              <c:f>Sheet1!$A$2:$D$2</c:f>
              <c:numCache>
                <c:formatCode>General</c:formatCode>
                <c:ptCount val="4"/>
                <c:pt idx="0">
                  <c:v>19.649999999999999</c:v>
                </c:pt>
                <c:pt idx="1">
                  <c:v>19.657299999999999</c:v>
                </c:pt>
                <c:pt idx="2">
                  <c:v>23.003799999999998</c:v>
                </c:pt>
                <c:pt idx="3">
                  <c:v>23.003799999999998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201672"/>
        <c:axId val="173202064"/>
      </c:scatterChart>
      <c:valAx>
        <c:axId val="173201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02064"/>
        <c:crosses val="autoZero"/>
        <c:crossBetween val="midCat"/>
      </c:valAx>
      <c:valAx>
        <c:axId val="17320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01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'Sheet1 (2)'!$A$1:$D$1</c:f>
              <c:numCache>
                <c:formatCode>General</c:formatCode>
                <c:ptCount val="4"/>
                <c:pt idx="0">
                  <c:v>-2.6366999999999998</c:v>
                </c:pt>
                <c:pt idx="1">
                  <c:v>1.3083</c:v>
                </c:pt>
                <c:pt idx="2">
                  <c:v>3.1480000000000001</c:v>
                </c:pt>
                <c:pt idx="3">
                  <c:v>-1.6508</c:v>
                </c:pt>
              </c:numCache>
            </c:numRef>
          </c:xVal>
          <c:yVal>
            <c:numRef>
              <c:f>'Sheet1 (2)'!$A$2:$D$2</c:f>
              <c:numCache>
                <c:formatCode>General</c:formatCode>
                <c:ptCount val="4"/>
                <c:pt idx="0">
                  <c:v>19.648399999999999</c:v>
                </c:pt>
                <c:pt idx="1">
                  <c:v>19.665299999999998</c:v>
                </c:pt>
                <c:pt idx="2">
                  <c:v>23.003799999999998</c:v>
                </c:pt>
                <c:pt idx="3">
                  <c:v>23.003799999999998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29096"/>
        <c:axId val="175329488"/>
      </c:scatterChart>
      <c:valAx>
        <c:axId val="175329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29488"/>
        <c:crosses val="autoZero"/>
        <c:crossBetween val="midCat"/>
      </c:valAx>
      <c:valAx>
        <c:axId val="17532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29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'Sheet1 (3)'!$A$1:$D$1</c:f>
              <c:numCache>
                <c:formatCode>General</c:formatCode>
                <c:ptCount val="4"/>
                <c:pt idx="0">
                  <c:v>-2.5508999999999999</c:v>
                </c:pt>
                <c:pt idx="1">
                  <c:v>1.5609</c:v>
                </c:pt>
                <c:pt idx="2">
                  <c:v>3.1480000000000001</c:v>
                </c:pt>
                <c:pt idx="3">
                  <c:v>-1.6508</c:v>
                </c:pt>
              </c:numCache>
            </c:numRef>
          </c:xVal>
          <c:yVal>
            <c:numRef>
              <c:f>'Sheet1 (3)'!$A$2:$D$2</c:f>
              <c:numCache>
                <c:formatCode>General</c:formatCode>
                <c:ptCount val="4"/>
                <c:pt idx="0">
                  <c:v>19.657499999999999</c:v>
                </c:pt>
                <c:pt idx="1">
                  <c:v>19.659500000000001</c:v>
                </c:pt>
                <c:pt idx="2">
                  <c:v>23.003799999999998</c:v>
                </c:pt>
                <c:pt idx="3">
                  <c:v>23.003799999999998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30272"/>
        <c:axId val="175330664"/>
      </c:scatterChart>
      <c:valAx>
        <c:axId val="175330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30664"/>
        <c:crosses val="autoZero"/>
        <c:crossBetween val="midCat"/>
      </c:valAx>
      <c:valAx>
        <c:axId val="175330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30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tilt!$A$1:$D$1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xVal>
          <c:yVal>
            <c:numRef>
              <c:f>tilt!$A$2:$D$2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31448"/>
        <c:axId val="175331840"/>
      </c:scatterChart>
      <c:valAx>
        <c:axId val="175331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31840"/>
        <c:crosses val="autoZero"/>
        <c:crossBetween val="midCat"/>
      </c:valAx>
      <c:valAx>
        <c:axId val="17533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31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12</xdr:row>
      <xdr:rowOff>157162</xdr:rowOff>
    </xdr:from>
    <xdr:to>
      <xdr:col>18</xdr:col>
      <xdr:colOff>352425</xdr:colOff>
      <xdr:row>27</xdr:row>
      <xdr:rowOff>42862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12</xdr:row>
      <xdr:rowOff>157162</xdr:rowOff>
    </xdr:from>
    <xdr:to>
      <xdr:col>18</xdr:col>
      <xdr:colOff>352425</xdr:colOff>
      <xdr:row>27</xdr:row>
      <xdr:rowOff>42862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12</xdr:row>
      <xdr:rowOff>157162</xdr:rowOff>
    </xdr:from>
    <xdr:to>
      <xdr:col>18</xdr:col>
      <xdr:colOff>352425</xdr:colOff>
      <xdr:row>27</xdr:row>
      <xdr:rowOff>42862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11</xdr:row>
      <xdr:rowOff>157162</xdr:rowOff>
    </xdr:from>
    <xdr:to>
      <xdr:col>18</xdr:col>
      <xdr:colOff>352425</xdr:colOff>
      <xdr:row>26</xdr:row>
      <xdr:rowOff>42862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A8" sqref="A8"/>
    </sheetView>
  </sheetViews>
  <sheetFormatPr defaultRowHeight="15" x14ac:dyDescent="0.25"/>
  <sheetData>
    <row r="1" spans="1:4" x14ac:dyDescent="0.25">
      <c r="A1" s="1">
        <v>-2.5573999999999999</v>
      </c>
      <c r="B1" s="1">
        <v>1.3506</v>
      </c>
      <c r="C1" s="1">
        <v>3.1480000000000001</v>
      </c>
      <c r="D1" s="1">
        <v>-1.6508</v>
      </c>
    </row>
    <row r="2" spans="1:4" x14ac:dyDescent="0.25">
      <c r="A2" s="1">
        <v>19.649999999999999</v>
      </c>
      <c r="B2" s="1">
        <v>19.657299999999999</v>
      </c>
      <c r="C2" s="1">
        <v>23.003799999999998</v>
      </c>
      <c r="D2" s="1">
        <v>23.003799999999998</v>
      </c>
    </row>
    <row r="5" spans="1:4" x14ac:dyDescent="0.25">
      <c r="A5">
        <f>A1-B1</f>
        <v>-3.9079999999999999</v>
      </c>
    </row>
    <row r="6" spans="1:4" x14ac:dyDescent="0.25">
      <c r="A6">
        <f>A2-B2</f>
        <v>-7.3000000000007503E-3</v>
      </c>
    </row>
    <row r="7" spans="1:4" x14ac:dyDescent="0.25">
      <c r="A7">
        <f>-(90-ATAN(A5/A6)*180/PI())</f>
        <v>-0.10702628044298024</v>
      </c>
    </row>
    <row r="9" spans="1:4" x14ac:dyDescent="0.25">
      <c r="A9">
        <v>55.8</v>
      </c>
      <c r="B9" t="s">
        <v>0</v>
      </c>
    </row>
    <row r="10" spans="1:4" x14ac:dyDescent="0.25">
      <c r="A10">
        <f>A9-A7</f>
        <v>55.907026280442977</v>
      </c>
      <c r="B10" t="s">
        <v>0</v>
      </c>
    </row>
    <row r="11" spans="1:4" x14ac:dyDescent="0.25">
      <c r="A11">
        <v>55.7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B3" sqref="B3"/>
    </sheetView>
  </sheetViews>
  <sheetFormatPr defaultRowHeight="15" x14ac:dyDescent="0.25"/>
  <sheetData>
    <row r="1" spans="1:4" x14ac:dyDescent="0.25">
      <c r="A1" s="1">
        <v>-2.6366999999999998</v>
      </c>
      <c r="B1" s="1">
        <v>1.3083</v>
      </c>
      <c r="C1" s="1">
        <v>3.1480000000000001</v>
      </c>
      <c r="D1" s="1">
        <v>-1.6508</v>
      </c>
    </row>
    <row r="2" spans="1:4" x14ac:dyDescent="0.25">
      <c r="A2" s="1">
        <v>19.648399999999999</v>
      </c>
      <c r="B2" s="1">
        <v>19.665299999999998</v>
      </c>
      <c r="C2" s="1">
        <v>23.003799999999998</v>
      </c>
      <c r="D2" s="1">
        <v>23.003799999999998</v>
      </c>
    </row>
    <row r="5" spans="1:4" x14ac:dyDescent="0.25">
      <c r="A5">
        <f>A1-B1</f>
        <v>-3.9449999999999998</v>
      </c>
    </row>
    <row r="6" spans="1:4" x14ac:dyDescent="0.25">
      <c r="A6">
        <f>A2-B2</f>
        <v>-1.6899999999999693E-2</v>
      </c>
    </row>
    <row r="7" spans="1:4" x14ac:dyDescent="0.25">
      <c r="A7">
        <f>90-ATAN(A5/A6)*180/PI()</f>
        <v>0.24544809898230824</v>
      </c>
    </row>
    <row r="9" spans="1:4" x14ac:dyDescent="0.25">
      <c r="A9">
        <v>55.8</v>
      </c>
      <c r="B9" t="s">
        <v>0</v>
      </c>
    </row>
    <row r="10" spans="1:4" x14ac:dyDescent="0.25">
      <c r="A10">
        <f>A9-A7</f>
        <v>55.554551901017689</v>
      </c>
      <c r="B10" t="s">
        <v>0</v>
      </c>
    </row>
    <row r="11" spans="1:4" x14ac:dyDescent="0.25">
      <c r="A11">
        <v>55.7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C10" sqref="C10"/>
    </sheetView>
  </sheetViews>
  <sheetFormatPr defaultRowHeight="15" x14ac:dyDescent="0.25"/>
  <sheetData>
    <row r="1" spans="1:4" x14ac:dyDescent="0.25">
      <c r="A1" s="1">
        <v>-2.5508999999999999</v>
      </c>
      <c r="B1" s="1">
        <v>1.5609</v>
      </c>
      <c r="C1" s="1">
        <v>3.1480000000000001</v>
      </c>
      <c r="D1" s="1">
        <v>-1.6508</v>
      </c>
    </row>
    <row r="2" spans="1:4" x14ac:dyDescent="0.25">
      <c r="A2" s="1">
        <v>19.657499999999999</v>
      </c>
      <c r="B2" s="1">
        <v>19.659500000000001</v>
      </c>
      <c r="C2" s="1">
        <v>23.003799999999998</v>
      </c>
      <c r="D2" s="1">
        <v>23.003799999999998</v>
      </c>
    </row>
    <row r="5" spans="1:4" x14ac:dyDescent="0.25">
      <c r="A5">
        <f>A1-B1</f>
        <v>-4.1117999999999997</v>
      </c>
    </row>
    <row r="6" spans="1:4" x14ac:dyDescent="0.25">
      <c r="A6">
        <f>A2-B2</f>
        <v>-2.0000000000024443E-3</v>
      </c>
    </row>
    <row r="7" spans="1:4" x14ac:dyDescent="0.25">
      <c r="A7">
        <f>90-ATAN(A5/A6)*180/PI()</f>
        <v>2.7868950335431464E-2</v>
      </c>
    </row>
    <row r="9" spans="1:4" x14ac:dyDescent="0.25">
      <c r="A9">
        <v>55.9</v>
      </c>
      <c r="B9" t="s">
        <v>0</v>
      </c>
    </row>
    <row r="10" spans="1:4" x14ac:dyDescent="0.25">
      <c r="A10">
        <f>A9-A7</f>
        <v>55.872131049664567</v>
      </c>
      <c r="B10" t="s">
        <v>0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F5" sqref="F5"/>
    </sheetView>
  </sheetViews>
  <sheetFormatPr defaultRowHeight="15" x14ac:dyDescent="0.25"/>
  <sheetData>
    <row r="1" spans="1:4" x14ac:dyDescent="0.25">
      <c r="A1" s="1">
        <v>0</v>
      </c>
      <c r="B1" s="2">
        <v>1</v>
      </c>
      <c r="C1" s="1">
        <f>B1</f>
        <v>1</v>
      </c>
      <c r="D1" s="1">
        <f>A1</f>
        <v>0</v>
      </c>
    </row>
    <row r="2" spans="1:4" x14ac:dyDescent="0.25">
      <c r="A2" s="1">
        <v>0</v>
      </c>
      <c r="B2" s="2">
        <v>1</v>
      </c>
      <c r="C2" s="1">
        <f>A2</f>
        <v>0</v>
      </c>
      <c r="D2" s="1">
        <f>A2</f>
        <v>0</v>
      </c>
    </row>
    <row r="5" spans="1:4" x14ac:dyDescent="0.25">
      <c r="A5">
        <f>ABS(A1-B1)</f>
        <v>1</v>
      </c>
    </row>
    <row r="6" spans="1:4" x14ac:dyDescent="0.25">
      <c r="A6">
        <f>ABS(A2-B2)</f>
        <v>1</v>
      </c>
    </row>
    <row r="7" spans="1:4" x14ac:dyDescent="0.25">
      <c r="A7">
        <f>90-ATAN(A5/A6)*180/PI()</f>
        <v>45</v>
      </c>
      <c r="B7" t="s">
        <v>0</v>
      </c>
    </row>
    <row r="8" spans="1:4" x14ac:dyDescent="0.25">
      <c r="A8">
        <f>90-A7</f>
        <v>45</v>
      </c>
      <c r="B8" t="s">
        <v>0</v>
      </c>
      <c r="C8" t="s">
        <v>1</v>
      </c>
    </row>
    <row r="9" spans="1:4" x14ac:dyDescent="0.25">
      <c r="C9" t="s">
        <v>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Sheet1 (2)</vt:lpstr>
      <vt:lpstr>Sheet1 (3)</vt:lpstr>
      <vt:lpstr>tilt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hrsem</dc:creator>
  <cp:lastModifiedBy>hrsem</cp:lastModifiedBy>
  <dcterms:created xsi:type="dcterms:W3CDTF">2020-04-23T07:48:08Z</dcterms:created>
  <dcterms:modified xsi:type="dcterms:W3CDTF">2020-04-23T10:29:21Z</dcterms:modified>
</cp:coreProperties>
</file>