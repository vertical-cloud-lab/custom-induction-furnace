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rg\Box\Johnson\Processing\Induction Furnace\"/>
    </mc:Choice>
  </mc:AlternateContent>
  <xr:revisionPtr revIDLastSave="0" documentId="13_ncr:1_{7E9877BA-BC6B-433A-8DD0-740CDE2AAB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" sheetId="1" r:id="rId1"/>
    <sheet name="Parts List" sheetId="2" r:id="rId2"/>
    <sheet name="Purchased" sheetId="4" r:id="rId3"/>
    <sheet name="Ol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E19" i="4"/>
  <c r="E20" i="4"/>
  <c r="E21" i="4"/>
  <c r="E22" i="4"/>
  <c r="E23" i="4"/>
  <c r="E24" i="4"/>
  <c r="E14" i="4"/>
  <c r="H16" i="4" s="1"/>
  <c r="E10" i="4"/>
  <c r="E9" i="4"/>
  <c r="E8" i="4"/>
  <c r="E4" i="4"/>
  <c r="E3" i="4"/>
  <c r="E14" i="3"/>
  <c r="E13" i="3"/>
  <c r="E10" i="3"/>
  <c r="E6" i="3" l="1"/>
  <c r="E5" i="3"/>
  <c r="E4" i="3"/>
  <c r="E3" i="3"/>
  <c r="E2" i="3"/>
  <c r="E1" i="3"/>
  <c r="E14" i="2" l="1"/>
  <c r="H16" i="2" s="1"/>
  <c r="E4" i="2"/>
  <c r="E5" i="2"/>
  <c r="E6" i="2"/>
  <c r="E7" i="2"/>
  <c r="E8" i="2"/>
  <c r="E3" i="2"/>
  <c r="H10" i="2" l="1"/>
  <c r="H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Sterling Baird</author>
  </authors>
  <commentList>
    <comment ref="E25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Sterling Baird:</t>
        </r>
        <r>
          <rPr>
            <sz val="9"/>
            <color indexed="81"/>
            <rFont val="Tahoma"/>
            <charset val="1"/>
          </rPr>
          <t xml:space="preserve">
estimated</t>
        </r>
      </text>
    </comment>
  </commentList>
</comments>
</file>

<file path=xl/sharedStrings.xml><?xml version="1.0" encoding="utf-8"?>
<sst xmlns="http://schemas.openxmlformats.org/spreadsheetml/2006/main" count="166" uniqueCount="105">
  <si>
    <t>Item</t>
  </si>
  <si>
    <t>Graphite</t>
  </si>
  <si>
    <t>Zirconia</t>
  </si>
  <si>
    <t>Alumina</t>
  </si>
  <si>
    <t>KF40 Straight Connector</t>
  </si>
  <si>
    <t>plate</t>
  </si>
  <si>
    <t>rod</t>
  </si>
  <si>
    <t>bar</t>
  </si>
  <si>
    <t>disc</t>
  </si>
  <si>
    <t>Teflon</t>
  </si>
  <si>
    <t>Torr-seal epoxy</t>
  </si>
  <si>
    <t>optical pyrometer</t>
  </si>
  <si>
    <t>1800 °C</t>
  </si>
  <si>
    <t>2000 °C</t>
  </si>
  <si>
    <t>2200 °C</t>
  </si>
  <si>
    <t>thermocouples</t>
  </si>
  <si>
    <t>disappearing filament pyrometer</t>
  </si>
  <si>
    <t>Quartz</t>
  </si>
  <si>
    <t>Sapphire</t>
  </si>
  <si>
    <t>Signal feedthrough materials</t>
  </si>
  <si>
    <t>Option</t>
  </si>
  <si>
    <t>KF40 Centering Ring (2)</t>
  </si>
  <si>
    <t>KF40 Elbow (2)</t>
  </si>
  <si>
    <t>KF40 Flange Clamp (2)</t>
  </si>
  <si>
    <t>potting</t>
  </si>
  <si>
    <t>tube</t>
  </si>
  <si>
    <t>frit</t>
  </si>
  <si>
    <t>KF40 Blank Flange (2-4, i.e. extras)</t>
  </si>
  <si>
    <t>Optical windows (2-4, i.e. extras)</t>
  </si>
  <si>
    <t>Diamond boring bit</t>
  </si>
  <si>
    <t>crucible</t>
  </si>
  <si>
    <t>3000 °C</t>
  </si>
  <si>
    <t>Type K (~1300 °C)</t>
  </si>
  <si>
    <t>from OEM (3000+ °C)</t>
  </si>
  <si>
    <t>DIY (2500+ °C)</t>
  </si>
  <si>
    <t>Type S (1600 °C)</t>
  </si>
  <si>
    <t>Type C (2300 °C)</t>
  </si>
  <si>
    <t>tube (one-end closed)</t>
  </si>
  <si>
    <t>tube (both ends open)</t>
  </si>
  <si>
    <t>Cotronics</t>
  </si>
  <si>
    <t>Quantity</t>
  </si>
  <si>
    <t>Price</t>
  </si>
  <si>
    <t>101, Replicast Mold Material, Gallon</t>
  </si>
  <si>
    <t>103MR, Mold Release for ceramics, 16 oz.</t>
  </si>
  <si>
    <t xml:space="preserve">56L-3, 3000C graphite 1" x 6" x 6" </t>
  </si>
  <si>
    <t>RTC-60-2 fine grade 1787 C Alumina, 10 lb</t>
  </si>
  <si>
    <t>760-1, 2204 C Zirconia 10 lb</t>
  </si>
  <si>
    <t>Resbond 931-1, 3000C graphite repair</t>
  </si>
  <si>
    <t>YSZ grain growth</t>
  </si>
  <si>
    <t>Nickel grain growth crucible</t>
  </si>
  <si>
    <t>Precise, reusable mold for crucibles</t>
  </si>
  <si>
    <t>Easy removal of crucibles from molds</t>
  </si>
  <si>
    <t>Machine crucible as susceptor for YSZ grain growth</t>
  </si>
  <si>
    <t>Graphite bonding material to repair fractured graphite crucibles</t>
  </si>
  <si>
    <t>Mouser</t>
  </si>
  <si>
    <t>International Power 24V linear power supply</t>
  </si>
  <si>
    <t>Clean input power supply for pyrometer</t>
  </si>
  <si>
    <t>Shipping</t>
  </si>
  <si>
    <t>?</t>
  </si>
  <si>
    <t>QSI Quartz</t>
  </si>
  <si>
    <t>Reason</t>
  </si>
  <si>
    <t>Total</t>
  </si>
  <si>
    <t>Quartz disc 1.25" dia. x 1/16" thick</t>
  </si>
  <si>
    <t>Quartz disc 55 mm x 1.5 mm (custom, approx. price)</t>
  </si>
  <si>
    <t>Quartz tube, 4' x 35 mm ID x -0.05 to +0.1 mm OD</t>
  </si>
  <si>
    <t>IdealVac</t>
  </si>
  <si>
    <t>Blank KF40 1" bore</t>
  </si>
  <si>
    <t>Blank KF40 flange</t>
  </si>
  <si>
    <t>Overpressure KF40 centering ring</t>
  </si>
  <si>
    <t>Plastic quick vacuum clamp</t>
  </si>
  <si>
    <t>Varian Torr Seal High Vac Epoxy</t>
  </si>
  <si>
    <t>Centering Ring KF40</t>
  </si>
  <si>
    <t>Optical window, connect via high vacuum epoxy or angle bracket &amp; O-ring</t>
  </si>
  <si>
    <t>Optical window, set atop overpressure centering ring &amp; use plastic clamp</t>
  </si>
  <si>
    <t>Section to custom lengths (e.g. 1') in glassblowing shop, use as chamber</t>
  </si>
  <si>
    <t>Reduce contamination and sublimation simultaneously by venting high vac chamber with inert gas and flowing inert gas</t>
  </si>
  <si>
    <t>To set the 1.25" optical window inside and then epoxy, sealing one end of quartz tube</t>
  </si>
  <si>
    <t>For setting 55 mm dia. optical window in, and then clamping down with plastic clamp</t>
  </si>
  <si>
    <t>For use with 55 mm dia. optical window and overpressure centering ring</t>
  </si>
  <si>
    <t>For sealing optical window to blank flange</t>
  </si>
  <si>
    <t xml:space="preserve">Aluminum KF40 hinge clamp </t>
  </si>
  <si>
    <t>For use with blank flange connection</t>
  </si>
  <si>
    <t>Grand Total</t>
  </si>
  <si>
    <t>Ebay</t>
  </si>
  <si>
    <t>LumaSens 800-2500 C dual-wavelength pyrometer</t>
  </si>
  <si>
    <t>For temperature measurement of YSZ, graphite, or nickel, etc.</t>
  </si>
  <si>
    <t>Project</t>
  </si>
  <si>
    <t>YSZ</t>
  </si>
  <si>
    <t>Ni</t>
  </si>
  <si>
    <t>YSZ/Ni</t>
  </si>
  <si>
    <t>For making angle bracket &amp; O-ring version</t>
  </si>
  <si>
    <t>BMotionTech</t>
  </si>
  <si>
    <t>Edwards TAV5 Vent Valve</t>
  </si>
  <si>
    <t>Edwards TAV6 Vent Valve w/ accessories</t>
  </si>
  <si>
    <t>3/8" BSPT female to KF25</t>
  </si>
  <si>
    <t>3/8" BSPT male to 1/8" BSPP female</t>
  </si>
  <si>
    <t>McMaster-Carr</t>
  </si>
  <si>
    <t>Inert Gas Regulator (Fisher Scientific, FS-50)</t>
  </si>
  <si>
    <t>Ultra high temperature quartz disc 2" dia. (~50 mm) x 1/16" thick</t>
  </si>
  <si>
    <t>1/8" NPT male 10 psi pressure relief valve (4772K4)</t>
  </si>
  <si>
    <t>Subtotal</t>
  </si>
  <si>
    <t>1/8" tube ID barb 1/8 NPT male adapter</t>
  </si>
  <si>
    <t>1/8 NPT male 10 psi relief valve</t>
  </si>
  <si>
    <t>1/8" NPT tee connector</t>
  </si>
  <si>
    <t>1/8 NPT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</si>
</sst>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44" fontId="0" fillId="0" borderId="0" xfId="1" applyFont="1"/>
    <xf numFmtId="6" fontId="0" fillId="0" borderId="0" xfId="1" applyNumberFormat="1" applyFont="1"/>
    <xf numFmtId="8" fontId="0" fillId="0" borderId="0" xfId="1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C2" sqref="C2"/>
    </sheetView>
  </sheetViews>
  <sheetFormatPr defaultRowHeight="14.4" x14ac:dyDescent="0.3"/>
  <cols>
    <col min="1" max="1" width="4.33203125" bestFit="1" customWidth="1"/>
    <col min="2" max="2" width="28" bestFit="1" customWidth="1"/>
    <col min="3" max="3" width="17.6640625" bestFit="1" customWidth="1"/>
    <col min="4" max="4" width="18.88671875" bestFit="1" customWidth="1"/>
    <col min="5" max="5" width="19.33203125" bestFit="1" customWidth="1"/>
    <col min="6" max="6" width="6.88671875" bestFit="1" customWidth="1"/>
  </cols>
  <sheetData>
    <row r="1" spans="1:6" x14ac:dyDescent="0.3">
      <c r="C1" t="s">
        <v>20</v>
      </c>
    </row>
    <row r="2" spans="1:6" x14ac:dyDescent="0.3">
      <c r="A2" s="1" t="s">
        <v>0</v>
      </c>
      <c r="B2" t="s">
        <v>1</v>
      </c>
      <c r="C2" s="2" t="s">
        <v>5</v>
      </c>
      <c r="D2" t="s">
        <v>6</v>
      </c>
      <c r="E2" t="s">
        <v>7</v>
      </c>
      <c r="F2" t="s">
        <v>30</v>
      </c>
    </row>
    <row r="3" spans="1:6" x14ac:dyDescent="0.3">
      <c r="A3" s="1"/>
      <c r="B3" t="s">
        <v>2</v>
      </c>
      <c r="C3" t="s">
        <v>6</v>
      </c>
      <c r="D3" t="s">
        <v>8</v>
      </c>
      <c r="E3" s="2" t="s">
        <v>24</v>
      </c>
      <c r="F3" t="s">
        <v>30</v>
      </c>
    </row>
    <row r="4" spans="1:6" x14ac:dyDescent="0.3">
      <c r="A4" s="1"/>
      <c r="B4" t="s">
        <v>3</v>
      </c>
      <c r="C4" t="s">
        <v>5</v>
      </c>
      <c r="D4" t="s">
        <v>6</v>
      </c>
      <c r="E4" s="2" t="s">
        <v>24</v>
      </c>
      <c r="F4" t="s">
        <v>30</v>
      </c>
    </row>
    <row r="5" spans="1:6" x14ac:dyDescent="0.3">
      <c r="A5" s="1"/>
      <c r="B5" t="s">
        <v>9</v>
      </c>
      <c r="C5" t="s">
        <v>6</v>
      </c>
      <c r="D5" s="2" t="s">
        <v>7</v>
      </c>
      <c r="E5" t="s">
        <v>25</v>
      </c>
    </row>
    <row r="6" spans="1:6" x14ac:dyDescent="0.3">
      <c r="A6" s="1"/>
      <c r="B6" t="s">
        <v>17</v>
      </c>
      <c r="C6" s="2" t="s">
        <v>26</v>
      </c>
      <c r="D6" s="2" t="s">
        <v>37</v>
      </c>
      <c r="E6" s="2" t="s">
        <v>38</v>
      </c>
    </row>
    <row r="7" spans="1:6" x14ac:dyDescent="0.3">
      <c r="A7" s="1"/>
      <c r="B7" t="s">
        <v>27</v>
      </c>
    </row>
    <row r="8" spans="1:6" x14ac:dyDescent="0.3">
      <c r="A8" s="1"/>
      <c r="B8" t="s">
        <v>22</v>
      </c>
    </row>
    <row r="9" spans="1:6" x14ac:dyDescent="0.3">
      <c r="A9" s="1"/>
      <c r="B9" t="s">
        <v>4</v>
      </c>
    </row>
    <row r="10" spans="1:6" x14ac:dyDescent="0.3">
      <c r="A10" s="1"/>
      <c r="B10" t="s">
        <v>21</v>
      </c>
    </row>
    <row r="11" spans="1:6" x14ac:dyDescent="0.3">
      <c r="A11" s="1"/>
      <c r="B11" t="s">
        <v>23</v>
      </c>
    </row>
    <row r="12" spans="1:6" x14ac:dyDescent="0.3">
      <c r="A12" s="1"/>
      <c r="B12" t="s">
        <v>11</v>
      </c>
      <c r="C12" t="s">
        <v>12</v>
      </c>
      <c r="D12" t="s">
        <v>13</v>
      </c>
      <c r="E12" t="s">
        <v>14</v>
      </c>
      <c r="F12" t="s">
        <v>31</v>
      </c>
    </row>
    <row r="13" spans="1:6" x14ac:dyDescent="0.3">
      <c r="A13" s="1"/>
      <c r="B13" t="s">
        <v>15</v>
      </c>
      <c r="C13" t="s">
        <v>32</v>
      </c>
      <c r="D13" t="s">
        <v>35</v>
      </c>
      <c r="E13" t="s">
        <v>36</v>
      </c>
    </row>
    <row r="14" spans="1:6" x14ac:dyDescent="0.3">
      <c r="A14" s="1"/>
      <c r="B14" t="s">
        <v>16</v>
      </c>
      <c r="C14" t="s">
        <v>33</v>
      </c>
      <c r="D14" t="s">
        <v>34</v>
      </c>
    </row>
    <row r="15" spans="1:6" x14ac:dyDescent="0.3">
      <c r="A15" s="1"/>
      <c r="B15" s="2" t="s">
        <v>10</v>
      </c>
    </row>
    <row r="16" spans="1:6" x14ac:dyDescent="0.3">
      <c r="A16" s="1"/>
      <c r="B16" t="s">
        <v>19</v>
      </c>
    </row>
    <row r="17" spans="2:4" x14ac:dyDescent="0.3">
      <c r="B17" t="s">
        <v>28</v>
      </c>
      <c r="C17" t="s">
        <v>17</v>
      </c>
      <c r="D17" t="s">
        <v>18</v>
      </c>
    </row>
    <row r="18" spans="2:4" x14ac:dyDescent="0.3">
      <c r="B18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abSelected="1" zoomScale="93" workbookViewId="0">
      <selection activeCell="B14" sqref="B14"/>
    </sheetView>
  </sheetViews>
  <sheetFormatPr defaultRowHeight="14.4" x14ac:dyDescent="0.3"/>
  <cols>
    <col min="2" max="2" width="44.6640625" bestFit="1" customWidth="1"/>
    <col min="4" max="4" width="9" style="3"/>
    <col min="5" max="5" width="9.88671875" style="3" bestFit="1" customWidth="1"/>
    <col min="6" max="6" width="23" bestFit="1" customWidth="1"/>
    <col min="7" max="7" width="10.109375" bestFit="1" customWidth="1"/>
    <col min="8" max="8" width="9.88671875" bestFit="1" customWidth="1"/>
    <col min="10" max="10" width="9.88671875" bestFit="1" customWidth="1"/>
  </cols>
  <sheetData>
    <row r="1" spans="1:8" x14ac:dyDescent="0.3">
      <c r="B1" t="s">
        <v>39</v>
      </c>
    </row>
    <row r="2" spans="1:8" x14ac:dyDescent="0.3">
      <c r="A2" t="s">
        <v>86</v>
      </c>
      <c r="B2" t="s">
        <v>0</v>
      </c>
      <c r="C2" t="s">
        <v>40</v>
      </c>
      <c r="D2" s="3" t="s">
        <v>41</v>
      </c>
      <c r="E2" s="3" t="s">
        <v>61</v>
      </c>
      <c r="F2" t="s">
        <v>60</v>
      </c>
    </row>
    <row r="3" spans="1:8" x14ac:dyDescent="0.3">
      <c r="A3" t="s">
        <v>87</v>
      </c>
      <c r="B3" t="s">
        <v>46</v>
      </c>
      <c r="C3">
        <v>1</v>
      </c>
      <c r="D3" s="3">
        <v>124.41</v>
      </c>
      <c r="E3" s="3">
        <f t="shared" ref="E3:E8" si="0">C3*D3</f>
        <v>124.41</v>
      </c>
      <c r="F3" t="s">
        <v>48</v>
      </c>
    </row>
    <row r="4" spans="1:8" x14ac:dyDescent="0.3">
      <c r="A4" t="s">
        <v>88</v>
      </c>
      <c r="B4" t="s">
        <v>45</v>
      </c>
      <c r="C4">
        <v>1</v>
      </c>
      <c r="D4" s="3">
        <v>91.45</v>
      </c>
      <c r="E4" s="3">
        <f t="shared" si="0"/>
        <v>91.45</v>
      </c>
      <c r="F4" t="s">
        <v>49</v>
      </c>
    </row>
    <row r="5" spans="1:8" x14ac:dyDescent="0.3">
      <c r="A5" t="s">
        <v>89</v>
      </c>
      <c r="B5" t="s">
        <v>42</v>
      </c>
      <c r="C5">
        <v>1</v>
      </c>
      <c r="D5" s="3">
        <v>86.75</v>
      </c>
      <c r="E5" s="3">
        <f t="shared" si="0"/>
        <v>86.75</v>
      </c>
      <c r="F5" t="s">
        <v>50</v>
      </c>
    </row>
    <row r="6" spans="1:8" x14ac:dyDescent="0.3">
      <c r="A6" t="s">
        <v>89</v>
      </c>
      <c r="B6" t="s">
        <v>43</v>
      </c>
      <c r="C6">
        <v>1</v>
      </c>
      <c r="D6" s="3">
        <v>24.1</v>
      </c>
      <c r="E6" s="3">
        <f t="shared" si="0"/>
        <v>24.1</v>
      </c>
      <c r="F6" t="s">
        <v>51</v>
      </c>
    </row>
    <row r="7" spans="1:8" x14ac:dyDescent="0.3">
      <c r="A7" t="s">
        <v>87</v>
      </c>
      <c r="B7" t="s">
        <v>44</v>
      </c>
      <c r="C7">
        <v>1</v>
      </c>
      <c r="D7" s="3">
        <v>98.83</v>
      </c>
      <c r="E7" s="3">
        <f t="shared" si="0"/>
        <v>98.83</v>
      </c>
      <c r="F7" t="s">
        <v>52</v>
      </c>
    </row>
    <row r="8" spans="1:8" x14ac:dyDescent="0.3">
      <c r="A8" t="s">
        <v>87</v>
      </c>
      <c r="B8" t="s">
        <v>47</v>
      </c>
      <c r="C8">
        <v>1</v>
      </c>
      <c r="D8" s="3">
        <v>107.64</v>
      </c>
      <c r="E8" s="3">
        <f t="shared" si="0"/>
        <v>107.64</v>
      </c>
      <c r="F8" t="s">
        <v>53</v>
      </c>
    </row>
    <row r="9" spans="1:8" x14ac:dyDescent="0.3">
      <c r="B9" t="s">
        <v>57</v>
      </c>
      <c r="E9" s="3" t="s">
        <v>58</v>
      </c>
    </row>
    <row r="10" spans="1:8" x14ac:dyDescent="0.3">
      <c r="G10" t="s">
        <v>100</v>
      </c>
      <c r="H10" s="6">
        <f>SUM(E3:E9)</f>
        <v>533.18000000000006</v>
      </c>
    </row>
    <row r="11" spans="1:8" x14ac:dyDescent="0.3">
      <c r="H11" s="6"/>
    </row>
    <row r="12" spans="1:8" x14ac:dyDescent="0.3">
      <c r="B12" t="s">
        <v>59</v>
      </c>
    </row>
    <row r="13" spans="1:8" x14ac:dyDescent="0.3">
      <c r="B13" t="s">
        <v>0</v>
      </c>
      <c r="C13" t="s">
        <v>40</v>
      </c>
      <c r="D13" s="3" t="s">
        <v>41</v>
      </c>
      <c r="E13" s="3" t="s">
        <v>61</v>
      </c>
      <c r="F13" t="s">
        <v>60</v>
      </c>
    </row>
    <row r="14" spans="1:8" x14ac:dyDescent="0.3">
      <c r="A14" t="s">
        <v>89</v>
      </c>
      <c r="B14" t="s">
        <v>64</v>
      </c>
      <c r="C14">
        <v>2</v>
      </c>
      <c r="D14" s="3">
        <v>67</v>
      </c>
      <c r="E14" s="3">
        <f>C14*D14</f>
        <v>134</v>
      </c>
      <c r="F14" t="s">
        <v>74</v>
      </c>
    </row>
    <row r="15" spans="1:8" x14ac:dyDescent="0.3">
      <c r="B15" t="s">
        <v>57</v>
      </c>
      <c r="E15" s="3">
        <v>53.18</v>
      </c>
    </row>
    <row r="16" spans="1:8" x14ac:dyDescent="0.3">
      <c r="G16" t="s">
        <v>100</v>
      </c>
      <c r="H16" s="6">
        <f>SUM(E14:E15)</f>
        <v>187.18</v>
      </c>
    </row>
    <row r="18" spans="2:8" x14ac:dyDescent="0.3">
      <c r="G18" s="2" t="s">
        <v>82</v>
      </c>
      <c r="H18" s="3">
        <f>SUM(E:E)</f>
        <v>720.36</v>
      </c>
    </row>
    <row r="20" spans="2:8" x14ac:dyDescent="0.3">
      <c r="B20" t="s">
        <v>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A17" sqref="A17:XFD17"/>
    </sheetView>
  </sheetViews>
  <sheetFormatPr defaultRowHeight="14.4" x14ac:dyDescent="0.3"/>
  <cols>
    <col min="1" max="1" width="6.88671875" bestFit="1" customWidth="1"/>
    <col min="2" max="2" width="46" bestFit="1" customWidth="1"/>
    <col min="3" max="3" width="8.6640625" bestFit="1" customWidth="1"/>
    <col min="4" max="4" width="8" bestFit="1" customWidth="1"/>
    <col min="5" max="5" width="9" bestFit="1" customWidth="1"/>
    <col min="6" max="6" width="77.88671875" bestFit="1" customWidth="1"/>
  </cols>
  <sheetData>
    <row r="1" spans="1:8" x14ac:dyDescent="0.3">
      <c r="B1" t="s">
        <v>65</v>
      </c>
      <c r="D1" s="3"/>
      <c r="E1" s="3"/>
    </row>
    <row r="2" spans="1:8" x14ac:dyDescent="0.3">
      <c r="B2" t="s">
        <v>0</v>
      </c>
      <c r="C2" t="s">
        <v>40</v>
      </c>
      <c r="D2" s="3" t="s">
        <v>41</v>
      </c>
      <c r="E2" s="3" t="s">
        <v>61</v>
      </c>
      <c r="F2" t="s">
        <v>60</v>
      </c>
    </row>
    <row r="3" spans="1:8" x14ac:dyDescent="0.3">
      <c r="A3" t="s">
        <v>89</v>
      </c>
      <c r="B3" t="s">
        <v>68</v>
      </c>
      <c r="C3">
        <v>1</v>
      </c>
      <c r="D3" s="3">
        <v>19.45</v>
      </c>
      <c r="E3" s="3">
        <f>C3*D3</f>
        <v>19.45</v>
      </c>
      <c r="F3" t="s">
        <v>77</v>
      </c>
    </row>
    <row r="4" spans="1:8" x14ac:dyDescent="0.3">
      <c r="A4" t="s">
        <v>89</v>
      </c>
      <c r="B4" t="s">
        <v>69</v>
      </c>
      <c r="C4">
        <v>1</v>
      </c>
      <c r="D4" s="3">
        <v>23</v>
      </c>
      <c r="E4" s="3">
        <f>C4*D4</f>
        <v>23</v>
      </c>
      <c r="F4" t="s">
        <v>78</v>
      </c>
    </row>
    <row r="5" spans="1:8" x14ac:dyDescent="0.3">
      <c r="B5" t="s">
        <v>57</v>
      </c>
      <c r="D5" s="3"/>
      <c r="E5" s="3">
        <v>13.78</v>
      </c>
    </row>
    <row r="7" spans="1:8" x14ac:dyDescent="0.3">
      <c r="B7" t="s">
        <v>83</v>
      </c>
      <c r="D7" s="3"/>
      <c r="E7" s="3"/>
    </row>
    <row r="8" spans="1:8" x14ac:dyDescent="0.3">
      <c r="A8" t="s">
        <v>89</v>
      </c>
      <c r="B8" t="s">
        <v>84</v>
      </c>
      <c r="C8">
        <v>1</v>
      </c>
      <c r="D8" s="4">
        <v>241.31</v>
      </c>
      <c r="E8" s="3">
        <f>C8*D8</f>
        <v>241.31</v>
      </c>
      <c r="F8" t="s">
        <v>85</v>
      </c>
    </row>
    <row r="9" spans="1:8" x14ac:dyDescent="0.3">
      <c r="A9" t="s">
        <v>89</v>
      </c>
      <c r="B9" t="s">
        <v>92</v>
      </c>
      <c r="C9">
        <v>1</v>
      </c>
      <c r="D9" s="4">
        <v>58.99</v>
      </c>
      <c r="E9" s="3">
        <f>C9*D9</f>
        <v>58.99</v>
      </c>
    </row>
    <row r="10" spans="1:8" x14ac:dyDescent="0.3">
      <c r="A10" t="s">
        <v>89</v>
      </c>
      <c r="B10" t="s">
        <v>97</v>
      </c>
      <c r="C10">
        <v>1</v>
      </c>
      <c r="D10" s="4">
        <v>37.54</v>
      </c>
      <c r="E10" s="3">
        <f>C10*D10</f>
        <v>37.54</v>
      </c>
    </row>
    <row r="11" spans="1:8" x14ac:dyDescent="0.3">
      <c r="B11" t="s">
        <v>57</v>
      </c>
      <c r="D11" s="3"/>
      <c r="E11" s="3">
        <v>0</v>
      </c>
    </row>
    <row r="13" spans="1:8" x14ac:dyDescent="0.3">
      <c r="B13" t="s">
        <v>91</v>
      </c>
      <c r="D13" s="3"/>
      <c r="E13" s="3"/>
    </row>
    <row r="14" spans="1:8" x14ac:dyDescent="0.3">
      <c r="A14" t="s">
        <v>89</v>
      </c>
      <c r="B14" t="s">
        <v>94</v>
      </c>
      <c r="C14">
        <v>1</v>
      </c>
      <c r="D14" s="4">
        <v>15</v>
      </c>
      <c r="E14" s="3">
        <f>C14*D14</f>
        <v>15</v>
      </c>
    </row>
    <row r="15" spans="1:8" x14ac:dyDescent="0.3">
      <c r="B15" t="s">
        <v>57</v>
      </c>
      <c r="D15" s="3"/>
      <c r="E15" s="3">
        <v>0</v>
      </c>
    </row>
    <row r="16" spans="1:8" x14ac:dyDescent="0.3">
      <c r="D16" s="3"/>
      <c r="E16" s="3"/>
      <c r="G16" t="s">
        <v>100</v>
      </c>
      <c r="H16" s="6">
        <f>SUM(E14:E15)</f>
        <v>15</v>
      </c>
    </row>
    <row r="17" spans="1:5" x14ac:dyDescent="0.3">
      <c r="B17" t="s">
        <v>96</v>
      </c>
      <c r="D17" s="3"/>
      <c r="E17" s="3"/>
    </row>
    <row r="18" spans="1:5" x14ac:dyDescent="0.3">
      <c r="A18" t="s">
        <v>89</v>
      </c>
      <c r="B18" t="s">
        <v>95</v>
      </c>
      <c r="C18">
        <v>1</v>
      </c>
      <c r="D18" s="5">
        <v>15.5</v>
      </c>
      <c r="E18" s="3">
        <f t="shared" ref="E18:E24" si="0">C18*D18</f>
        <v>15.5</v>
      </c>
    </row>
    <row r="19" spans="1:5" x14ac:dyDescent="0.3">
      <c r="A19" t="s">
        <v>89</v>
      </c>
      <c r="B19" t="s">
        <v>99</v>
      </c>
      <c r="C19">
        <v>1</v>
      </c>
      <c r="D19" s="5">
        <v>9.7100000000000009</v>
      </c>
      <c r="E19" s="3">
        <f t="shared" si="0"/>
        <v>9.7100000000000009</v>
      </c>
    </row>
    <row r="20" spans="1:5" x14ac:dyDescent="0.3">
      <c r="A20" t="s">
        <v>89</v>
      </c>
      <c r="B20" t="s">
        <v>98</v>
      </c>
      <c r="C20">
        <v>1</v>
      </c>
      <c r="D20" s="5">
        <v>18.62</v>
      </c>
      <c r="E20" s="3">
        <f t="shared" si="0"/>
        <v>18.62</v>
      </c>
    </row>
    <row r="21" spans="1:5" x14ac:dyDescent="0.3">
      <c r="A21" t="s">
        <v>89</v>
      </c>
      <c r="B21" t="s">
        <v>102</v>
      </c>
      <c r="C21">
        <v>1</v>
      </c>
      <c r="D21" s="5">
        <v>9.7100000000000009</v>
      </c>
      <c r="E21" s="3">
        <f t="shared" si="0"/>
        <v>9.7100000000000009</v>
      </c>
    </row>
    <row r="22" spans="1:5" x14ac:dyDescent="0.3">
      <c r="A22" t="s">
        <v>89</v>
      </c>
      <c r="B22" t="s">
        <v>101</v>
      </c>
      <c r="C22">
        <v>2</v>
      </c>
      <c r="D22" s="5">
        <v>5.33</v>
      </c>
      <c r="E22" s="3">
        <f t="shared" si="0"/>
        <v>10.66</v>
      </c>
    </row>
    <row r="23" spans="1:5" x14ac:dyDescent="0.3">
      <c r="A23" t="s">
        <v>89</v>
      </c>
      <c r="B23" t="s">
        <v>103</v>
      </c>
      <c r="C23">
        <v>1</v>
      </c>
      <c r="D23" s="5">
        <v>3.73</v>
      </c>
      <c r="E23" s="3">
        <f t="shared" si="0"/>
        <v>3.73</v>
      </c>
    </row>
    <row r="24" spans="1:5" x14ac:dyDescent="0.3">
      <c r="A24" t="s">
        <v>89</v>
      </c>
      <c r="B24" t="s">
        <v>104</v>
      </c>
      <c r="C24">
        <v>1</v>
      </c>
      <c r="D24" s="5">
        <v>2.25</v>
      </c>
      <c r="E24" s="3">
        <f t="shared" si="0"/>
        <v>2.25</v>
      </c>
    </row>
    <row r="25" spans="1:5" x14ac:dyDescent="0.3">
      <c r="B25" t="s">
        <v>57</v>
      </c>
      <c r="D25" s="3"/>
      <c r="E25" s="5">
        <v>25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B14" sqref="B14"/>
    </sheetView>
  </sheetViews>
  <sheetFormatPr defaultRowHeight="14.4" x14ac:dyDescent="0.3"/>
  <cols>
    <col min="1" max="1" width="6" bestFit="1" customWidth="1"/>
    <col min="2" max="2" width="33" bestFit="1" customWidth="1"/>
    <col min="3" max="3" width="1.6640625" bestFit="1" customWidth="1"/>
    <col min="4" max="5" width="8.44140625" bestFit="1" customWidth="1"/>
    <col min="6" max="6" width="96.44140625" bestFit="1" customWidth="1"/>
  </cols>
  <sheetData>
    <row r="1" spans="1:6" x14ac:dyDescent="0.3">
      <c r="A1" t="s">
        <v>89</v>
      </c>
      <c r="B1" t="s">
        <v>93</v>
      </c>
      <c r="C1">
        <v>1</v>
      </c>
      <c r="D1" s="3">
        <v>487</v>
      </c>
      <c r="E1" s="3">
        <f t="shared" ref="E1:E6" si="0">C1*D1</f>
        <v>487</v>
      </c>
      <c r="F1" t="s">
        <v>75</v>
      </c>
    </row>
    <row r="2" spans="1:6" x14ac:dyDescent="0.3">
      <c r="A2" t="s">
        <v>89</v>
      </c>
      <c r="B2" t="s">
        <v>66</v>
      </c>
      <c r="C2">
        <v>1</v>
      </c>
      <c r="D2" s="3">
        <v>13.95</v>
      </c>
      <c r="E2" s="3">
        <f t="shared" si="0"/>
        <v>13.95</v>
      </c>
      <c r="F2" t="s">
        <v>76</v>
      </c>
    </row>
    <row r="3" spans="1:6" x14ac:dyDescent="0.3">
      <c r="A3" t="s">
        <v>89</v>
      </c>
      <c r="B3" t="s">
        <v>67</v>
      </c>
      <c r="C3">
        <v>2</v>
      </c>
      <c r="D3" s="3">
        <v>13.55</v>
      </c>
      <c r="E3" s="3">
        <f t="shared" si="0"/>
        <v>27.1</v>
      </c>
      <c r="F3" t="s">
        <v>90</v>
      </c>
    </row>
    <row r="4" spans="1:6" x14ac:dyDescent="0.3">
      <c r="A4" t="s">
        <v>89</v>
      </c>
      <c r="B4" t="s">
        <v>70</v>
      </c>
      <c r="C4">
        <v>1</v>
      </c>
      <c r="D4" s="3">
        <v>57.35</v>
      </c>
      <c r="E4" s="3">
        <f t="shared" si="0"/>
        <v>57.35</v>
      </c>
      <c r="F4" t="s">
        <v>79</v>
      </c>
    </row>
    <row r="5" spans="1:6" x14ac:dyDescent="0.3">
      <c r="A5" t="s">
        <v>89</v>
      </c>
      <c r="B5" t="s">
        <v>71</v>
      </c>
      <c r="C5">
        <v>1</v>
      </c>
      <c r="D5" s="3">
        <v>10.5</v>
      </c>
      <c r="E5" s="3">
        <f t="shared" si="0"/>
        <v>10.5</v>
      </c>
      <c r="F5" t="s">
        <v>81</v>
      </c>
    </row>
    <row r="6" spans="1:6" x14ac:dyDescent="0.3">
      <c r="A6" t="s">
        <v>89</v>
      </c>
      <c r="B6" t="s">
        <v>80</v>
      </c>
      <c r="C6">
        <v>1</v>
      </c>
      <c r="D6" s="3">
        <v>10.25</v>
      </c>
      <c r="E6" s="3">
        <f t="shared" si="0"/>
        <v>10.25</v>
      </c>
      <c r="F6" t="s">
        <v>81</v>
      </c>
    </row>
    <row r="8" spans="1:6" x14ac:dyDescent="0.3">
      <c r="B8" t="s">
        <v>54</v>
      </c>
      <c r="D8" s="3"/>
      <c r="E8" s="3"/>
    </row>
    <row r="9" spans="1:6" x14ac:dyDescent="0.3">
      <c r="B9" t="s">
        <v>0</v>
      </c>
      <c r="C9" t="s">
        <v>40</v>
      </c>
      <c r="D9" s="3" t="s">
        <v>41</v>
      </c>
      <c r="E9" s="3" t="s">
        <v>61</v>
      </c>
      <c r="F9" t="s">
        <v>60</v>
      </c>
    </row>
    <row r="10" spans="1:6" x14ac:dyDescent="0.3">
      <c r="A10" t="s">
        <v>89</v>
      </c>
      <c r="B10" t="s">
        <v>55</v>
      </c>
      <c r="C10">
        <v>1</v>
      </c>
      <c r="D10" s="3">
        <v>51.25</v>
      </c>
      <c r="E10" s="3">
        <f>C10*D10</f>
        <v>51.25</v>
      </c>
      <c r="F10" t="s">
        <v>56</v>
      </c>
    </row>
    <row r="11" spans="1:6" x14ac:dyDescent="0.3">
      <c r="B11" t="s">
        <v>57</v>
      </c>
      <c r="D11" s="3"/>
      <c r="E11" s="3">
        <v>7.99</v>
      </c>
    </row>
    <row r="13" spans="1:6" x14ac:dyDescent="0.3">
      <c r="A13" t="s">
        <v>89</v>
      </c>
      <c r="B13" t="s">
        <v>62</v>
      </c>
      <c r="C13">
        <v>3</v>
      </c>
      <c r="D13" s="3">
        <v>8</v>
      </c>
      <c r="E13" s="3">
        <f>C13*D13</f>
        <v>24</v>
      </c>
      <c r="F13" t="s">
        <v>72</v>
      </c>
    </row>
    <row r="14" spans="1:6" x14ac:dyDescent="0.3">
      <c r="A14" t="s">
        <v>89</v>
      </c>
      <c r="B14" t="s">
        <v>63</v>
      </c>
      <c r="C14">
        <v>3</v>
      </c>
      <c r="D14" s="3">
        <v>18</v>
      </c>
      <c r="E14" s="3">
        <f>C14*D14</f>
        <v>54</v>
      </c>
      <c r="F1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Parts List</vt:lpstr>
      <vt:lpstr>Purchased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Sterling Baird</dc:creator>
  <cp:lastModifiedBy>Sterling Baird</cp:lastModifiedBy>
  <dcterms:created xsi:type="dcterms:W3CDTF">2019-09-14T05:05:56Z</dcterms:created>
  <dcterms:modified xsi:type="dcterms:W3CDTF">2023-04-23T05:29:58Z</dcterms:modified>
</cp:coreProperties>
</file>