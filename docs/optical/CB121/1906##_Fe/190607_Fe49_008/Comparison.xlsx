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rg\Box\Johnson\Sterling Baird - Optical\1906##_Fe\190607_Fe49_009\"/>
    </mc:Choice>
  </mc:AlternateContent>
  <bookViews>
    <workbookView xWindow="0" yWindow="0" windowWidth="28800" windowHeight="14130"/>
  </bookViews>
  <sheets>
    <sheet name="Lines" sheetId="1" r:id="rId1"/>
    <sheet name="Sheet2" sheetId="2" r:id="rId2"/>
  </sheets>
  <definedNames>
    <definedName name="_xlchart.v1.0" hidden="1">Lines!$B$3:$B$37</definedName>
    <definedName name="_xlchart.v1.1" hidden="1">Lines!$H$3:$H$52</definedName>
    <definedName name="_xlchart.v1.2" hidden="1">Lines!$B$3:$B$37</definedName>
    <definedName name="_xlchart.v1.3" hidden="1">Lines!$H$3:$H$52</definedName>
    <definedName name="_xlchart.v1.4" hidden="1">Lines!$H$3:$H$52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9" i="1" l="1"/>
  <c r="C49" i="1"/>
  <c r="B49" i="1"/>
  <c r="D47" i="1"/>
  <c r="C47" i="1"/>
  <c r="B47" i="1"/>
  <c r="D45" i="1"/>
  <c r="C45" i="1"/>
  <c r="B45" i="1"/>
  <c r="D43" i="1"/>
  <c r="C43" i="1"/>
  <c r="B43" i="1"/>
  <c r="D41" i="1"/>
  <c r="C41" i="1"/>
  <c r="B41" i="1"/>
  <c r="D39" i="1"/>
  <c r="C39" i="1"/>
  <c r="B39" i="1"/>
</calcChain>
</file>

<file path=xl/sharedStrings.xml><?xml version="1.0" encoding="utf-8"?>
<sst xmlns="http://schemas.openxmlformats.org/spreadsheetml/2006/main" count="232" uniqueCount="65">
  <si>
    <t>Line</t>
  </si>
  <si>
    <t>D value (µm)</t>
  </si>
  <si>
    <t>X value (µm)</t>
  </si>
  <si>
    <t>Y value (µm)</t>
  </si>
  <si>
    <t>Data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</si>
  <si>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</si>
  <si>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</si>
  <si>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</si>
  <si>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</si>
  <si>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</si>
  <si>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</si>
  <si>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</si>
  <si>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</si>
  <si>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</si>
  <si>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</si>
  <si>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</si>
  <si>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</si>
  <si>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</si>
  <si>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</si>
  <si>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</si>
  <si>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</si>
  <si>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</si>
  <si>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</si>
  <si>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</si>
  <si>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</si>
  <si>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</si>
  <si>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</si>
  <si>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</si>
  <si>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</si>
  <si>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</si>
  <si>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</si>
  <si>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</si>
  <si>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</si>
  <si>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</si>
  <si>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</si>
  <si>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</si>
  <si>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</si>
  <si>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</si>
  <si>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</si>
  <si>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</si>
  <si>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Statistics</t>
  </si>
  <si>
    <t>Largest</t>
  </si>
  <si>
    <t>Item</t>
  </si>
  <si>
    <t>Smallest</t>
  </si>
  <si>
    <t>Mean</t>
  </si>
  <si>
    <t>N/A</t>
  </si>
  <si>
    <t>Median</t>
  </si>
  <si>
    <t>Std. Dev.</t>
  </si>
  <si>
    <t>Sum Total</t>
  </si>
  <si>
    <t>L36</t>
  </si>
  <si>
    <t>L37</t>
  </si>
  <si>
    <t>L38</t>
  </si>
  <si>
    <t>L39</t>
  </si>
  <si>
    <t>L40</t>
  </si>
  <si>
    <t>L41</t>
  </si>
  <si>
    <t>L42</t>
  </si>
  <si>
    <t>L43</t>
  </si>
  <si>
    <t>L44</t>
  </si>
  <si>
    <t>L45</t>
  </si>
  <si>
    <t>L46</t>
  </si>
  <si>
    <t>L47</t>
  </si>
  <si>
    <t>L48</t>
  </si>
  <si>
    <t>L49</t>
  </si>
  <si>
    <t>L50</t>
  </si>
  <si>
    <t>(Before)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</si>
</sst>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###0.0;\-###0.0"/>
  </numFmts>
  <fonts count="5" x14ac:knownFonts="1">
    <font>
      <sz val="8"/>
      <name val="MS Sans Serif"/>
      <charset val="1"/>
    </font>
    <font>
      <sz val="8"/>
      <name val="MS Sans Serif"/>
      <charset val="1"/>
    </font>
    <font>
      <b/>
      <sz val="8"/>
      <color indexed="18"/>
      <name val="MS Sans Serif"/>
      <charset val="1"/>
    </font>
    <font>
      <sz val="8"/>
      <color indexed="18"/>
      <name val="MS Sans Serif"/>
      <charset val="1"/>
    </font>
    <font>
      <b/>
      <sz val="8"/>
      <name val="MS Sans Serif"/>
      <charset val="1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/>
      <right/>
      <top style="medium">
        <color indexed="8"/>
      </top>
      <bottom style="medium">
        <color indexed="8"/>
      </bottom>
      <diagonal/>
    </border>
  </borders>
  <cellStyleXfs count="2">
    <xf numFmtId="0" fontId="0" fillId="0" borderId="0" applyAlignment="0">
      <alignment vertical="top" wrapText="1"/>
      <protection locked="0"/>
    </xf>
    <xf numFmtId="43" fontId="1" fillId="0" borderId="0" applyFont="0" applyFill="0" applyBorder="0" applyAlignment="0" applyProtection="0"/>
  </cellStyleXfs>
  <cellXfs count="27">
    <xf numFmtId="0" fontId="0" fillId="0" borderId="0" xfId="0" applyAlignment="1">
      <protection locked="0"/>
    </xf>
    <xf numFmtId="0" fontId="0" fillId="0" borderId="0" xfId="0" applyAlignment="1">
      <alignment horizontal="left" vertical="top"/>
      <protection locked="0"/>
    </xf>
    <xf numFmtId="0" fontId="2" fillId="2" borderId="0" xfId="0" applyFont="1" applyFill="1" applyAlignment="1">
      <alignment horizontal="left" vertical="top"/>
      <protection locked="0"/>
    </xf>
    <xf numFmtId="0" fontId="2" fillId="2" borderId="1" xfId="0" applyFont="1" applyFill="1" applyBorder="1" applyAlignment="1">
      <alignment horizontal="left" vertical="top"/>
      <protection locked="0"/>
    </xf>
    <xf numFmtId="0" fontId="3" fillId="2" borderId="0" xfId="0" applyFont="1" applyFill="1" applyAlignment="1">
      <alignment horizontal="left" vertical="top"/>
      <protection locked="0"/>
    </xf>
    <xf numFmtId="0" fontId="4" fillId="2" borderId="0" xfId="0" applyFont="1" applyFill="1" applyAlignment="1">
      <alignment horizontal="left" vertical="top"/>
      <protection locked="0"/>
    </xf>
    <xf numFmtId="164" fontId="0" fillId="0" borderId="0" xfId="0" applyNumberFormat="1" applyAlignment="1">
      <alignment horizontal="right" vertical="top"/>
      <protection locked="0"/>
    </xf>
    <xf numFmtId="164" fontId="2" fillId="2" borderId="1" xfId="0" applyNumberFormat="1" applyFont="1" applyFill="1" applyBorder="1" applyAlignment="1">
      <alignment horizontal="right" vertical="top"/>
      <protection locked="0"/>
    </xf>
    <xf numFmtId="0" fontId="0" fillId="0" borderId="0" xfId="0" applyFont="1" applyAlignment="1">
      <alignment horizontal="left" vertical="top"/>
      <protection locked="0"/>
    </xf>
    <xf numFmtId="0" fontId="4" fillId="0" borderId="0" xfId="0" applyFont="1" applyAlignment="1">
      <alignment horizontal="right" vertical="top"/>
      <protection locked="0"/>
    </xf>
    <xf numFmtId="0" fontId="0" fillId="0" borderId="0" xfId="0" applyAlignment="1">
      <alignment horizontal="left" vertical="top"/>
      <protection locked="0"/>
    </xf>
    <xf numFmtId="0" fontId="2" fillId="2" borderId="0" xfId="0" applyFont="1" applyFill="1" applyAlignment="1">
      <alignment horizontal="left" vertical="top"/>
      <protection locked="0"/>
    </xf>
    <xf numFmtId="0" fontId="2" fillId="2" borderId="1" xfId="0" applyFont="1" applyFill="1" applyBorder="1" applyAlignment="1">
      <alignment horizontal="left" vertical="top"/>
      <protection locked="0"/>
    </xf>
    <xf numFmtId="0" fontId="3" fillId="2" borderId="0" xfId="0" applyFont="1" applyFill="1" applyAlignment="1">
      <alignment horizontal="left" vertical="top"/>
      <protection locked="0"/>
    </xf>
    <xf numFmtId="164" fontId="0" fillId="0" borderId="0" xfId="0" applyNumberFormat="1" applyAlignment="1">
      <alignment horizontal="right" vertical="top"/>
      <protection locked="0"/>
    </xf>
    <xf numFmtId="164" fontId="2" fillId="2" borderId="1" xfId="0" applyNumberFormat="1" applyFont="1" applyFill="1" applyBorder="1" applyAlignment="1">
      <alignment horizontal="right" vertical="top"/>
      <protection locked="0"/>
    </xf>
    <xf numFmtId="0" fontId="0" fillId="0" borderId="0" xfId="0" applyFont="1" applyAlignment="1">
      <alignment horizontal="left" vertical="top"/>
      <protection locked="0"/>
    </xf>
    <xf numFmtId="0" fontId="4" fillId="0" borderId="0" xfId="0" applyFont="1" applyAlignment="1">
      <alignment horizontal="right" vertical="top"/>
      <protection locked="0"/>
    </xf>
    <xf numFmtId="0" fontId="0" fillId="0" borderId="0" xfId="0" applyAlignment="1">
      <alignment horizontal="left" vertical="top"/>
      <protection locked="0"/>
    </xf>
    <xf numFmtId="0" fontId="2" fillId="2" borderId="0" xfId="0" applyFont="1" applyFill="1" applyAlignment="1">
      <alignment horizontal="left" vertical="top"/>
      <protection locked="0"/>
    </xf>
    <xf numFmtId="0" fontId="2" fillId="2" borderId="1" xfId="0" applyFont="1" applyFill="1" applyBorder="1" applyAlignment="1">
      <alignment horizontal="left" vertical="top"/>
      <protection locked="0"/>
    </xf>
    <xf numFmtId="164" fontId="0" fillId="0" borderId="0" xfId="0" applyNumberFormat="1" applyAlignment="1">
      <alignment horizontal="right" vertical="top"/>
      <protection locked="0"/>
    </xf>
    <xf numFmtId="0" fontId="0" fillId="0" borderId="0" xfId="0" applyAlignment="1">
      <alignment horizontal="left" vertical="top"/>
      <protection locked="0"/>
    </xf>
    <xf numFmtId="0" fontId="2" fillId="2" borderId="0" xfId="0" applyFont="1" applyFill="1" applyAlignment="1">
      <alignment horizontal="left" vertical="top"/>
      <protection locked="0"/>
    </xf>
    <xf numFmtId="164" fontId="0" fillId="0" borderId="0" xfId="0" applyNumberFormat="1" applyAlignment="1">
      <alignment horizontal="right" vertical="top"/>
      <protection locked="0"/>
    </xf>
    <xf numFmtId="164" fontId="2" fillId="2" borderId="1" xfId="0" applyNumberFormat="1" applyFont="1" applyFill="1" applyBorder="1" applyAlignment="1">
      <alignment horizontal="right" vertical="top"/>
      <protection locked="0"/>
    </xf>
    <xf numFmtId="0" fontId="4" fillId="0" borderId="0" xfId="0" applyFont="1" applyAlignment="1">
      <alignment horizontal="right" vertical="top"/>
      <protection locked="0"/>
    </xf>
  </cellXfs>
  <cellStyles count="2">
    <cellStyle name="Comma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  <cx:data id="1">
      <cx:numDim type="val">
        <cx:f>_xlchart.v1.3</cx:f>
      </cx:numDim>
    </cx:data>
  </cx:chartData>
  <cx:chart>
    <cx:plotArea>
      <cx:plotAreaRegion>
        <cx:series layoutId="clusteredColumn" uniqueId="{8AB3D5F2-509E-4083-8009-15BFBAF913AB}" formatIdx="0">
          <cx:dataId val="0"/>
          <cx:layoutPr>
            <cx:binning intervalClosed="r">
              <cx:binSize val="200"/>
            </cx:binning>
          </cx:layoutPr>
        </cx:series>
        <cx:series layoutId="clusteredColumn" hidden="1" uniqueId="{00000000-C4A0-4FB0-A756-C89A03DB8647}" formatIdx="0">
          <cx:tx>
            <cx:txData>
              <cx:v>Control</cx:v>
            </cx:txData>
          </cx:tx>
          <cx:dataId val="1"/>
          <cx:layoutPr>
            <cx:binning intervalClosed="r"/>
          </cx:layoutPr>
        </cx:series>
      </cx:plotAreaRegion>
      <cx:axis id="0">
        <cx:catScaling gapWidth="0.200000003"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/>
                  <a:t>Bin Range (µm)</a:t>
                </a:r>
              </a:p>
            </cx:rich>
          </cx:tx>
        </cx:title>
        <cx:tickLabels/>
      </cx:axis>
      <cx:axis id="1">
        <cx:valScaling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/>
                  <a:t>Number of Grains</a:t>
                </a:r>
              </a:p>
            </cx:rich>
          </cx:tx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plotArea>
      <cx:plotAreaRegion>
        <cx:series layoutId="clusteredColumn" uniqueId="{00000000-C4A0-4FB0-A756-C89A03DB8647}" formatIdx="0">
          <cx:tx>
            <cx:txData>
              <cx:v>Control</cx:v>
            </cx:txData>
          </cx:tx>
          <cx:spPr>
            <a:solidFill>
              <a:srgbClr val="FF0000"/>
            </a:solidFill>
          </cx:spPr>
          <cx:dataId val="0"/>
          <cx:layoutPr>
            <cx:binning intervalClosed="r"/>
          </cx:layoutPr>
        </cx:series>
      </cx:plotAreaRegion>
      <cx:axis id="0">
        <cx:catScaling gapWidth="0.200000003"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/>
                  <a:t>Bin Range (µm)</a:t>
                </a:r>
              </a:p>
            </cx:rich>
          </cx:tx>
        </cx:title>
        <cx:tickLabels/>
      </cx:axis>
      <cx:axis id="1">
        <cx:valScaling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/>
                  <a:t>Number of Grains</a:t>
                </a:r>
              </a:p>
            </cx:rich>
          </cx:tx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200025</xdr:colOff>
      <xdr:row>14</xdr:row>
      <xdr:rowOff>123825</xdr:rowOff>
    </xdr:from>
    <xdr:to>
      <xdr:col>21</xdr:col>
      <xdr:colOff>438150</xdr:colOff>
      <xdr:row>35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0</xdr:colOff>
      <xdr:row>39</xdr:row>
      <xdr:rowOff>0</xdr:rowOff>
    </xdr:from>
    <xdr:to>
      <xdr:col>21</xdr:col>
      <xdr:colOff>238125</xdr:colOff>
      <xdr:row>60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4"/>
  <sheetViews>
    <sheetView tabSelected="1" workbookViewId="0">
      <selection activeCell="N21" sqref="N21"/>
    </sheetView>
  </sheetViews>
  <sheetFormatPr defaultColWidth="10.83203125" defaultRowHeight="12" customHeight="1" x14ac:dyDescent="0.15"/>
  <cols>
    <col min="1" max="1" width="10.83203125" style="8" customWidth="1"/>
    <col min="2" max="4" width="20.1640625" style="1" customWidth="1"/>
    <col min="5" max="16384" width="10.83203125" style="8"/>
  </cols>
  <sheetData>
    <row r="1" spans="1:10" s="1" customFormat="1" ht="12" customHeight="1" thickBot="1" x14ac:dyDescent="0.2">
      <c r="A1" s="1" t="s">
        <v>0</v>
      </c>
      <c r="B1" s="1" t="s">
        <v>1</v>
      </c>
      <c r="C1" s="1" t="s">
        <v>2</v>
      </c>
      <c r="D1" s="1" t="s">
        <v>3</v>
      </c>
      <c r="F1" s="1" t="s">
        <v>64</v>
      </c>
      <c r="G1" s="18" t="s">
        <v>0</v>
      </c>
      <c r="H1" s="18" t="s">
        <v>1</v>
      </c>
      <c r="I1" s="18" t="s">
        <v>2</v>
      </c>
      <c r="J1" s="18" t="s">
        <v>3</v>
      </c>
    </row>
    <row r="2" spans="1:10" s="5" customFormat="1" ht="12" customHeight="1" thickBot="1" x14ac:dyDescent="0.2">
      <c r="A2" s="2" t="s">
        <v>4</v>
      </c>
      <c r="B2" s="3"/>
      <c r="C2" s="3"/>
      <c r="D2" s="3"/>
      <c r="E2" s="4"/>
      <c r="G2" s="19" t="s">
        <v>4</v>
      </c>
      <c r="H2" s="20"/>
      <c r="I2" s="20"/>
      <c r="J2" s="20"/>
    </row>
    <row r="3" spans="1:10" s="1" customFormat="1" ht="12" customHeight="1" x14ac:dyDescent="0.15">
      <c r="A3" s="1" t="s">
        <v>5</v>
      </c>
      <c r="B3" s="6">
        <v>246.3</v>
      </c>
      <c r="C3" s="6">
        <v>144.9</v>
      </c>
      <c r="D3" s="6">
        <v>199.2</v>
      </c>
      <c r="G3" s="18" t="s">
        <v>5</v>
      </c>
      <c r="H3" s="21">
        <v>139.1</v>
      </c>
      <c r="I3" s="21">
        <v>137.5</v>
      </c>
      <c r="J3" s="21">
        <v>20.5</v>
      </c>
    </row>
    <row r="4" spans="1:10" s="1" customFormat="1" ht="12" customHeight="1" x14ac:dyDescent="0.15">
      <c r="A4" s="1" t="s">
        <v>6</v>
      </c>
      <c r="B4" s="6">
        <v>965.5</v>
      </c>
      <c r="C4" s="6">
        <v>905.5</v>
      </c>
      <c r="D4" s="6">
        <v>335</v>
      </c>
      <c r="G4" s="18" t="s">
        <v>6</v>
      </c>
      <c r="H4" s="21">
        <v>47.6</v>
      </c>
      <c r="I4" s="21">
        <v>40.1</v>
      </c>
      <c r="J4" s="21">
        <v>25.6</v>
      </c>
    </row>
    <row r="5" spans="1:10" s="1" customFormat="1" ht="12" customHeight="1" x14ac:dyDescent="0.15">
      <c r="A5" s="1" t="s">
        <v>7</v>
      </c>
      <c r="B5" s="6">
        <v>509.1</v>
      </c>
      <c r="C5" s="6">
        <v>507.1</v>
      </c>
      <c r="D5" s="6">
        <v>45.3</v>
      </c>
      <c r="G5" s="18" t="s">
        <v>7</v>
      </c>
      <c r="H5" s="21">
        <v>59.3</v>
      </c>
      <c r="I5" s="21">
        <v>37.200000000000003</v>
      </c>
      <c r="J5" s="21">
        <v>46.2</v>
      </c>
    </row>
    <row r="6" spans="1:10" s="1" customFormat="1" ht="12" customHeight="1" x14ac:dyDescent="0.15">
      <c r="A6" s="1" t="s">
        <v>8</v>
      </c>
      <c r="B6" s="6">
        <v>977.2</v>
      </c>
      <c r="C6" s="6">
        <v>525.20000000000005</v>
      </c>
      <c r="D6" s="6">
        <v>824</v>
      </c>
      <c r="G6" s="18" t="s">
        <v>8</v>
      </c>
      <c r="H6" s="21">
        <v>65.900000000000006</v>
      </c>
      <c r="I6" s="21">
        <v>65.900000000000006</v>
      </c>
      <c r="J6" s="21">
        <v>0</v>
      </c>
    </row>
    <row r="7" spans="1:10" s="1" customFormat="1" ht="12" customHeight="1" x14ac:dyDescent="0.15">
      <c r="A7" s="1" t="s">
        <v>9</v>
      </c>
      <c r="B7" s="6">
        <v>1045.4000000000001</v>
      </c>
      <c r="C7" s="6">
        <v>950.8</v>
      </c>
      <c r="D7" s="6">
        <v>434.7</v>
      </c>
      <c r="G7" s="18" t="s">
        <v>9</v>
      </c>
      <c r="H7" s="21">
        <v>52.9</v>
      </c>
      <c r="I7" s="21">
        <v>48.7</v>
      </c>
      <c r="J7" s="21">
        <v>20.5</v>
      </c>
    </row>
    <row r="8" spans="1:10" s="1" customFormat="1" ht="12" customHeight="1" x14ac:dyDescent="0.15">
      <c r="A8" s="1" t="s">
        <v>10</v>
      </c>
      <c r="B8" s="6">
        <v>756.8</v>
      </c>
      <c r="C8" s="6">
        <v>271.7</v>
      </c>
      <c r="D8" s="6">
        <v>706.3</v>
      </c>
      <c r="G8" s="18" t="s">
        <v>10</v>
      </c>
      <c r="H8" s="21">
        <v>15.2</v>
      </c>
      <c r="I8" s="21">
        <v>14.3</v>
      </c>
      <c r="J8" s="21">
        <v>5.0999999999999996</v>
      </c>
    </row>
    <row r="9" spans="1:10" s="1" customFormat="1" ht="12" customHeight="1" x14ac:dyDescent="0.15">
      <c r="A9" s="1" t="s">
        <v>11</v>
      </c>
      <c r="B9" s="6">
        <v>608.4</v>
      </c>
      <c r="C9" s="6">
        <v>588.6</v>
      </c>
      <c r="D9" s="6">
        <v>153.9</v>
      </c>
      <c r="G9" s="18" t="s">
        <v>11</v>
      </c>
      <c r="H9" s="21">
        <v>69.2</v>
      </c>
      <c r="I9" s="21">
        <v>68.8</v>
      </c>
      <c r="J9" s="21">
        <v>7.7</v>
      </c>
    </row>
    <row r="10" spans="1:10" s="1" customFormat="1" ht="12" customHeight="1" x14ac:dyDescent="0.15">
      <c r="A10" s="1" t="s">
        <v>12</v>
      </c>
      <c r="B10" s="6">
        <v>416.2</v>
      </c>
      <c r="C10" s="6">
        <v>289.8</v>
      </c>
      <c r="D10" s="6">
        <v>298.8</v>
      </c>
      <c r="G10" s="18" t="s">
        <v>12</v>
      </c>
      <c r="H10" s="21">
        <v>53.2</v>
      </c>
      <c r="I10" s="21">
        <v>14.3</v>
      </c>
      <c r="J10" s="21">
        <v>51.3</v>
      </c>
    </row>
    <row r="11" spans="1:10" s="1" customFormat="1" ht="12" customHeight="1" x14ac:dyDescent="0.15">
      <c r="A11" s="1" t="s">
        <v>13</v>
      </c>
      <c r="B11" s="6">
        <v>81.5</v>
      </c>
      <c r="C11" s="6">
        <v>81.5</v>
      </c>
      <c r="D11" s="6">
        <v>0</v>
      </c>
      <c r="G11" s="18" t="s">
        <v>13</v>
      </c>
      <c r="H11" s="21">
        <v>77.599999999999994</v>
      </c>
      <c r="I11" s="21">
        <v>65.900000000000006</v>
      </c>
      <c r="J11" s="21">
        <v>41</v>
      </c>
    </row>
    <row r="12" spans="1:10" s="1" customFormat="1" ht="12" customHeight="1" x14ac:dyDescent="0.15">
      <c r="A12" s="1" t="s">
        <v>14</v>
      </c>
      <c r="B12" s="6">
        <v>257.60000000000002</v>
      </c>
      <c r="C12" s="6">
        <v>45.3</v>
      </c>
      <c r="D12" s="6">
        <v>253.5</v>
      </c>
      <c r="G12" s="18" t="s">
        <v>14</v>
      </c>
      <c r="H12" s="21">
        <v>83.8</v>
      </c>
      <c r="I12" s="21">
        <v>17.2</v>
      </c>
      <c r="J12" s="21">
        <v>82</v>
      </c>
    </row>
    <row r="13" spans="1:10" s="1" customFormat="1" ht="12" customHeight="1" x14ac:dyDescent="0.15">
      <c r="A13" s="1" t="s">
        <v>15</v>
      </c>
      <c r="B13" s="6">
        <v>409.1</v>
      </c>
      <c r="C13" s="6">
        <v>190.2</v>
      </c>
      <c r="D13" s="6">
        <v>362.2</v>
      </c>
      <c r="G13" s="18" t="s">
        <v>15</v>
      </c>
      <c r="H13" s="21">
        <v>109.2</v>
      </c>
      <c r="I13" s="21">
        <v>103.2</v>
      </c>
      <c r="J13" s="21">
        <v>35.9</v>
      </c>
    </row>
    <row r="14" spans="1:10" s="1" customFormat="1" ht="12" customHeight="1" x14ac:dyDescent="0.15">
      <c r="A14" s="1" t="s">
        <v>16</v>
      </c>
      <c r="B14" s="6">
        <v>116</v>
      </c>
      <c r="C14" s="6">
        <v>90.6</v>
      </c>
      <c r="D14" s="6">
        <v>72.400000000000006</v>
      </c>
      <c r="G14" s="18" t="s">
        <v>16</v>
      </c>
      <c r="H14" s="21">
        <v>93.7</v>
      </c>
      <c r="I14" s="21">
        <v>60.2</v>
      </c>
      <c r="J14" s="21">
        <v>71.8</v>
      </c>
    </row>
    <row r="15" spans="1:10" s="1" customFormat="1" ht="12" customHeight="1" x14ac:dyDescent="0.15">
      <c r="A15" s="1" t="s">
        <v>17</v>
      </c>
      <c r="B15" s="6">
        <v>474.1</v>
      </c>
      <c r="C15" s="6">
        <v>416.5</v>
      </c>
      <c r="D15" s="6">
        <v>226.4</v>
      </c>
      <c r="G15" s="18" t="s">
        <v>17</v>
      </c>
      <c r="H15" s="21">
        <v>38.5</v>
      </c>
      <c r="I15" s="21">
        <v>28.7</v>
      </c>
      <c r="J15" s="21">
        <v>25.6</v>
      </c>
    </row>
    <row r="16" spans="1:10" s="1" customFormat="1" ht="12" customHeight="1" x14ac:dyDescent="0.15">
      <c r="A16" s="1" t="s">
        <v>18</v>
      </c>
      <c r="B16" s="6">
        <v>424.3</v>
      </c>
      <c r="C16" s="6">
        <v>271.7</v>
      </c>
      <c r="D16" s="6">
        <v>326</v>
      </c>
      <c r="G16" s="18" t="s">
        <v>18</v>
      </c>
      <c r="H16" s="21">
        <v>167.9</v>
      </c>
      <c r="I16" s="21">
        <v>45.8</v>
      </c>
      <c r="J16" s="21">
        <v>161.5</v>
      </c>
    </row>
    <row r="17" spans="1:10" s="1" customFormat="1" ht="12" customHeight="1" x14ac:dyDescent="0.15">
      <c r="A17" s="1" t="s">
        <v>19</v>
      </c>
      <c r="B17" s="6">
        <v>129.69999999999999</v>
      </c>
      <c r="C17" s="6">
        <v>27.2</v>
      </c>
      <c r="D17" s="6">
        <v>126.8</v>
      </c>
      <c r="G17" s="18" t="s">
        <v>19</v>
      </c>
      <c r="H17" s="21">
        <v>115.3</v>
      </c>
      <c r="I17" s="21">
        <v>114.6</v>
      </c>
      <c r="J17" s="21">
        <v>12.8</v>
      </c>
    </row>
    <row r="18" spans="1:10" s="1" customFormat="1" ht="12" customHeight="1" x14ac:dyDescent="0.15">
      <c r="A18" s="1" t="s">
        <v>20</v>
      </c>
      <c r="B18" s="6">
        <v>1090.4000000000001</v>
      </c>
      <c r="C18" s="6">
        <v>579.5</v>
      </c>
      <c r="D18" s="6">
        <v>923.6</v>
      </c>
      <c r="G18" s="18" t="s">
        <v>20</v>
      </c>
      <c r="H18" s="21">
        <v>151.1</v>
      </c>
      <c r="I18" s="21">
        <v>106</v>
      </c>
      <c r="J18" s="21">
        <v>107.7</v>
      </c>
    </row>
    <row r="19" spans="1:10" s="1" customFormat="1" ht="12" customHeight="1" x14ac:dyDescent="0.15">
      <c r="A19" s="1" t="s">
        <v>21</v>
      </c>
      <c r="B19" s="6">
        <v>525.9</v>
      </c>
      <c r="C19" s="6">
        <v>525.20000000000005</v>
      </c>
      <c r="D19" s="6">
        <v>27.2</v>
      </c>
      <c r="G19" s="18" t="s">
        <v>21</v>
      </c>
      <c r="H19" s="21">
        <v>47.6</v>
      </c>
      <c r="I19" s="21">
        <v>40.1</v>
      </c>
      <c r="J19" s="21">
        <v>25.6</v>
      </c>
    </row>
    <row r="20" spans="1:10" s="1" customFormat="1" ht="12" customHeight="1" x14ac:dyDescent="0.15">
      <c r="A20" s="1" t="s">
        <v>22</v>
      </c>
      <c r="B20" s="6">
        <v>877.2</v>
      </c>
      <c r="C20" s="6">
        <v>869.3</v>
      </c>
      <c r="D20" s="6">
        <v>117.7</v>
      </c>
      <c r="G20" s="18" t="s">
        <v>22</v>
      </c>
      <c r="H20" s="21">
        <v>45.2</v>
      </c>
      <c r="I20" s="21">
        <v>37.200000000000003</v>
      </c>
      <c r="J20" s="21">
        <v>25.6</v>
      </c>
    </row>
    <row r="21" spans="1:10" s="1" customFormat="1" ht="12" customHeight="1" x14ac:dyDescent="0.15">
      <c r="A21" s="1" t="s">
        <v>23</v>
      </c>
      <c r="B21" s="6">
        <v>806.4</v>
      </c>
      <c r="C21" s="6">
        <v>172</v>
      </c>
      <c r="D21" s="6">
        <v>787.8</v>
      </c>
      <c r="G21" s="18" t="s">
        <v>23</v>
      </c>
      <c r="H21" s="21">
        <v>69.7</v>
      </c>
      <c r="I21" s="21">
        <v>54.4</v>
      </c>
      <c r="J21" s="21">
        <v>43.6</v>
      </c>
    </row>
    <row r="22" spans="1:10" s="1" customFormat="1" ht="12" customHeight="1" x14ac:dyDescent="0.15">
      <c r="A22" s="1" t="s">
        <v>24</v>
      </c>
      <c r="B22" s="6">
        <v>1215.5999999999999</v>
      </c>
      <c r="C22" s="6">
        <v>1213.4000000000001</v>
      </c>
      <c r="D22" s="6">
        <v>72.400000000000006</v>
      </c>
      <c r="G22" s="18" t="s">
        <v>24</v>
      </c>
      <c r="H22" s="21">
        <v>51.5</v>
      </c>
      <c r="I22" s="21">
        <v>22.9</v>
      </c>
      <c r="J22" s="21">
        <v>46.2</v>
      </c>
    </row>
    <row r="23" spans="1:10" s="1" customFormat="1" ht="12" customHeight="1" x14ac:dyDescent="0.15">
      <c r="A23" s="1" t="s">
        <v>25</v>
      </c>
      <c r="B23" s="6">
        <v>751.6</v>
      </c>
      <c r="C23" s="6">
        <v>389.4</v>
      </c>
      <c r="D23" s="6">
        <v>642.9</v>
      </c>
      <c r="G23" s="18" t="s">
        <v>25</v>
      </c>
      <c r="H23" s="21">
        <v>43.8</v>
      </c>
      <c r="I23" s="21">
        <v>37.200000000000003</v>
      </c>
      <c r="J23" s="21">
        <v>23.1</v>
      </c>
    </row>
    <row r="24" spans="1:10" s="1" customFormat="1" ht="12" customHeight="1" x14ac:dyDescent="0.15">
      <c r="A24" s="1" t="s">
        <v>26</v>
      </c>
      <c r="B24" s="6">
        <v>588.6</v>
      </c>
      <c r="C24" s="6">
        <v>507.1</v>
      </c>
      <c r="D24" s="6">
        <v>298.8</v>
      </c>
      <c r="G24" s="18" t="s">
        <v>26</v>
      </c>
      <c r="H24" s="21">
        <v>47.6</v>
      </c>
      <c r="I24" s="21">
        <v>43</v>
      </c>
      <c r="J24" s="21">
        <v>20.5</v>
      </c>
    </row>
    <row r="25" spans="1:10" s="1" customFormat="1" ht="12" customHeight="1" x14ac:dyDescent="0.15">
      <c r="A25" s="1" t="s">
        <v>27</v>
      </c>
      <c r="B25" s="6">
        <v>174.2</v>
      </c>
      <c r="C25" s="6">
        <v>153.9</v>
      </c>
      <c r="D25" s="6">
        <v>81.5</v>
      </c>
      <c r="G25" s="18" t="s">
        <v>27</v>
      </c>
      <c r="H25" s="21">
        <v>58.5</v>
      </c>
      <c r="I25" s="21">
        <v>22.9</v>
      </c>
      <c r="J25" s="21">
        <v>53.8</v>
      </c>
    </row>
    <row r="26" spans="1:10" s="1" customFormat="1" ht="12" customHeight="1" x14ac:dyDescent="0.15">
      <c r="A26" s="1" t="s">
        <v>28</v>
      </c>
      <c r="B26" s="6">
        <v>434.7</v>
      </c>
      <c r="C26" s="6">
        <v>434.7</v>
      </c>
      <c r="D26" s="6">
        <v>0</v>
      </c>
      <c r="G26" s="18" t="s">
        <v>28</v>
      </c>
      <c r="H26" s="21">
        <v>214</v>
      </c>
      <c r="I26" s="21">
        <v>143.30000000000001</v>
      </c>
      <c r="J26" s="21">
        <v>159</v>
      </c>
    </row>
    <row r="27" spans="1:10" s="1" customFormat="1" ht="12" customHeight="1" x14ac:dyDescent="0.15">
      <c r="A27" s="1" t="s">
        <v>29</v>
      </c>
      <c r="B27" s="6">
        <v>347.9</v>
      </c>
      <c r="C27" s="6">
        <v>271.7</v>
      </c>
      <c r="D27" s="6">
        <v>217.3</v>
      </c>
      <c r="G27" s="18" t="s">
        <v>29</v>
      </c>
      <c r="H27" s="21">
        <v>110.1</v>
      </c>
      <c r="I27" s="21">
        <v>94.6</v>
      </c>
      <c r="J27" s="21">
        <v>56.4</v>
      </c>
    </row>
    <row r="28" spans="1:10" s="1" customFormat="1" ht="12" customHeight="1" x14ac:dyDescent="0.15">
      <c r="A28" s="1" t="s">
        <v>30</v>
      </c>
      <c r="B28" s="6">
        <v>1043.7</v>
      </c>
      <c r="C28" s="6">
        <v>815</v>
      </c>
      <c r="D28" s="6">
        <v>652</v>
      </c>
      <c r="G28" s="18" t="s">
        <v>30</v>
      </c>
      <c r="H28" s="21">
        <v>35.200000000000003</v>
      </c>
      <c r="I28" s="21">
        <v>28.7</v>
      </c>
      <c r="J28" s="21">
        <v>20.5</v>
      </c>
    </row>
    <row r="29" spans="1:10" s="1" customFormat="1" ht="12" customHeight="1" x14ac:dyDescent="0.15">
      <c r="A29" s="1" t="s">
        <v>31</v>
      </c>
      <c r="B29" s="6">
        <v>1140</v>
      </c>
      <c r="C29" s="6">
        <v>570.5</v>
      </c>
      <c r="D29" s="6">
        <v>987</v>
      </c>
      <c r="G29" s="18" t="s">
        <v>31</v>
      </c>
      <c r="H29" s="21">
        <v>40.299999999999997</v>
      </c>
      <c r="I29" s="21">
        <v>37.200000000000003</v>
      </c>
      <c r="J29" s="21">
        <v>15.4</v>
      </c>
    </row>
    <row r="30" spans="1:10" s="1" customFormat="1" ht="12" customHeight="1" x14ac:dyDescent="0.15">
      <c r="A30" s="1" t="s">
        <v>32</v>
      </c>
      <c r="B30" s="6">
        <v>919.6</v>
      </c>
      <c r="C30" s="6">
        <v>833.1</v>
      </c>
      <c r="D30" s="6">
        <v>389.4</v>
      </c>
      <c r="G30" s="18" t="s">
        <v>32</v>
      </c>
      <c r="H30" s="21">
        <v>89.9</v>
      </c>
      <c r="I30" s="21">
        <v>63</v>
      </c>
      <c r="J30" s="21">
        <v>64.099999999999994</v>
      </c>
    </row>
    <row r="31" spans="1:10" s="1" customFormat="1" ht="12" customHeight="1" x14ac:dyDescent="0.15">
      <c r="A31" s="1" t="s">
        <v>33</v>
      </c>
      <c r="B31" s="6">
        <v>516.1</v>
      </c>
      <c r="C31" s="6">
        <v>516.1</v>
      </c>
      <c r="D31" s="6">
        <v>0</v>
      </c>
      <c r="G31" s="18" t="s">
        <v>33</v>
      </c>
      <c r="H31" s="21">
        <v>108.8</v>
      </c>
      <c r="I31" s="21">
        <v>94.6</v>
      </c>
      <c r="J31" s="21">
        <v>53.8</v>
      </c>
    </row>
    <row r="32" spans="1:10" s="1" customFormat="1" ht="12" customHeight="1" x14ac:dyDescent="0.15">
      <c r="A32" s="1" t="s">
        <v>34</v>
      </c>
      <c r="B32" s="6">
        <v>398.5</v>
      </c>
      <c r="C32" s="6">
        <v>398.4</v>
      </c>
      <c r="D32" s="6">
        <v>9.1</v>
      </c>
      <c r="G32" s="18" t="s">
        <v>34</v>
      </c>
      <c r="H32" s="21">
        <v>19.2</v>
      </c>
      <c r="I32" s="21">
        <v>11.5</v>
      </c>
      <c r="J32" s="21">
        <v>15.4</v>
      </c>
    </row>
    <row r="33" spans="1:10" s="1" customFormat="1" ht="12" customHeight="1" x14ac:dyDescent="0.15">
      <c r="A33" s="1" t="s">
        <v>35</v>
      </c>
      <c r="B33" s="6">
        <v>322.39999999999998</v>
      </c>
      <c r="C33" s="6">
        <v>199.2</v>
      </c>
      <c r="D33" s="6">
        <v>253.5</v>
      </c>
      <c r="G33" s="18" t="s">
        <v>35</v>
      </c>
      <c r="H33" s="21">
        <v>118.9</v>
      </c>
      <c r="I33" s="21">
        <v>106</v>
      </c>
      <c r="J33" s="21">
        <v>53.8</v>
      </c>
    </row>
    <row r="34" spans="1:10" s="1" customFormat="1" ht="12" customHeight="1" x14ac:dyDescent="0.15">
      <c r="A34" s="1" t="s">
        <v>36</v>
      </c>
      <c r="B34" s="6">
        <v>143.19999999999999</v>
      </c>
      <c r="C34" s="6">
        <v>45.3</v>
      </c>
      <c r="D34" s="6">
        <v>135.80000000000001</v>
      </c>
      <c r="G34" s="18" t="s">
        <v>36</v>
      </c>
      <c r="H34" s="21">
        <v>146.4</v>
      </c>
      <c r="I34" s="21">
        <v>65.900000000000006</v>
      </c>
      <c r="J34" s="21">
        <v>130.80000000000001</v>
      </c>
    </row>
    <row r="35" spans="1:10" s="1" customFormat="1" ht="12" customHeight="1" x14ac:dyDescent="0.15">
      <c r="A35" s="1" t="s">
        <v>37</v>
      </c>
      <c r="B35" s="6">
        <v>511.3</v>
      </c>
      <c r="C35" s="6">
        <v>470.9</v>
      </c>
      <c r="D35" s="6">
        <v>199.2</v>
      </c>
      <c r="G35" s="18" t="s">
        <v>37</v>
      </c>
      <c r="H35" s="21">
        <v>234.7</v>
      </c>
      <c r="I35" s="21">
        <v>223.5</v>
      </c>
      <c r="J35" s="21">
        <v>71.8</v>
      </c>
    </row>
    <row r="36" spans="1:10" s="1" customFormat="1" ht="12" customHeight="1" x14ac:dyDescent="0.15">
      <c r="A36" s="1" t="s">
        <v>38</v>
      </c>
      <c r="B36" s="6">
        <v>1690.2</v>
      </c>
      <c r="C36" s="6">
        <v>941.7</v>
      </c>
      <c r="D36" s="6">
        <v>1403.6</v>
      </c>
      <c r="G36" s="18" t="s">
        <v>38</v>
      </c>
      <c r="H36" s="21">
        <v>92.6</v>
      </c>
      <c r="I36" s="21">
        <v>80.2</v>
      </c>
      <c r="J36" s="21">
        <v>46.2</v>
      </c>
    </row>
    <row r="37" spans="1:10" s="1" customFormat="1" ht="12" customHeight="1" thickBot="1" x14ac:dyDescent="0.2">
      <c r="A37" s="1" t="s">
        <v>39</v>
      </c>
      <c r="B37" s="6">
        <v>568.4</v>
      </c>
      <c r="C37" s="6">
        <v>489</v>
      </c>
      <c r="D37" s="6">
        <v>289.8</v>
      </c>
      <c r="G37" s="18" t="s">
        <v>39</v>
      </c>
      <c r="H37" s="21">
        <v>120.4</v>
      </c>
      <c r="I37" s="21">
        <v>77.400000000000006</v>
      </c>
      <c r="J37" s="21">
        <v>92.3</v>
      </c>
    </row>
    <row r="38" spans="1:10" s="5" customFormat="1" ht="12" customHeight="1" thickBot="1" x14ac:dyDescent="0.2">
      <c r="A38" s="2" t="s">
        <v>40</v>
      </c>
      <c r="B38" s="7"/>
      <c r="C38" s="7"/>
      <c r="D38" s="7"/>
      <c r="E38" s="4"/>
      <c r="G38" s="18" t="s">
        <v>49</v>
      </c>
      <c r="H38" s="21">
        <v>65.900000000000006</v>
      </c>
      <c r="I38" s="21">
        <v>65.900000000000006</v>
      </c>
      <c r="J38" s="21">
        <v>0</v>
      </c>
    </row>
    <row r="39" spans="1:10" s="1" customFormat="1" ht="12" customHeight="1" x14ac:dyDescent="0.15">
      <c r="A39" s="1" t="s">
        <v>41</v>
      </c>
      <c r="B39" s="6">
        <f>MAX($B$3:$B$37)</f>
        <v>1690.2</v>
      </c>
      <c r="C39" s="6">
        <f>MAX($C$3:$C$37)</f>
        <v>1213.4000000000001</v>
      </c>
      <c r="D39" s="6">
        <f>MAX($D$3:$D$37)</f>
        <v>1403.6</v>
      </c>
      <c r="E39" s="8"/>
      <c r="G39" s="18" t="s">
        <v>50</v>
      </c>
      <c r="H39" s="21">
        <v>151</v>
      </c>
      <c r="I39" s="21">
        <v>60.2</v>
      </c>
      <c r="J39" s="21">
        <v>138.5</v>
      </c>
    </row>
    <row r="40" spans="1:10" s="1" customFormat="1" ht="12" customHeight="1" x14ac:dyDescent="0.15">
      <c r="A40" s="1" t="s">
        <v>42</v>
      </c>
      <c r="B40" s="9" t="s">
        <v>38</v>
      </c>
      <c r="C40" s="9" t="s">
        <v>24</v>
      </c>
      <c r="D40" s="9" t="s">
        <v>38</v>
      </c>
      <c r="E40" s="8"/>
      <c r="G40" s="18" t="s">
        <v>51</v>
      </c>
      <c r="H40" s="21">
        <v>33</v>
      </c>
      <c r="I40" s="21">
        <v>25.8</v>
      </c>
      <c r="J40" s="21">
        <v>20.5</v>
      </c>
    </row>
    <row r="41" spans="1:10" s="1" customFormat="1" ht="12" customHeight="1" x14ac:dyDescent="0.15">
      <c r="A41" s="1" t="s">
        <v>43</v>
      </c>
      <c r="B41" s="6">
        <f>MIN($B$3:$B$37)</f>
        <v>81.5</v>
      </c>
      <c r="C41" s="6">
        <f>MIN($C$3:$C$37)</f>
        <v>27.2</v>
      </c>
      <c r="D41" s="6">
        <f>MIN($D$3:$D$37)</f>
        <v>0</v>
      </c>
      <c r="E41" s="8"/>
      <c r="G41" s="18" t="s">
        <v>52</v>
      </c>
      <c r="H41" s="21">
        <v>58.2</v>
      </c>
      <c r="I41" s="21">
        <v>54.4</v>
      </c>
      <c r="J41" s="21">
        <v>20.5</v>
      </c>
    </row>
    <row r="42" spans="1:10" s="1" customFormat="1" ht="12" customHeight="1" x14ac:dyDescent="0.15">
      <c r="A42" s="1" t="s">
        <v>42</v>
      </c>
      <c r="B42" s="9" t="s">
        <v>13</v>
      </c>
      <c r="C42" s="9" t="s">
        <v>19</v>
      </c>
      <c r="D42" s="9" t="s">
        <v>13</v>
      </c>
      <c r="E42" s="8"/>
      <c r="G42" s="18" t="s">
        <v>53</v>
      </c>
      <c r="H42" s="21">
        <v>14</v>
      </c>
      <c r="I42" s="21">
        <v>5.7</v>
      </c>
      <c r="J42" s="21">
        <v>12.8</v>
      </c>
    </row>
    <row r="43" spans="1:10" s="1" customFormat="1" ht="12" customHeight="1" x14ac:dyDescent="0.15">
      <c r="A43" s="1" t="s">
        <v>44</v>
      </c>
      <c r="B43" s="6">
        <f>AVERAGE($B$3:$B$37)</f>
        <v>613.80285714285719</v>
      </c>
      <c r="C43" s="6">
        <f>AVERAGE($C$3:$C$37)</f>
        <v>448.62857142857149</v>
      </c>
      <c r="D43" s="6">
        <f>AVERAGE($D$3:$D$37)</f>
        <v>338.66</v>
      </c>
      <c r="E43" s="8"/>
      <c r="G43" s="18" t="s">
        <v>54</v>
      </c>
      <c r="H43" s="21">
        <v>57.5</v>
      </c>
      <c r="I43" s="21">
        <v>57.3</v>
      </c>
      <c r="J43" s="21">
        <v>5.0999999999999996</v>
      </c>
    </row>
    <row r="44" spans="1:10" s="1" customFormat="1" ht="12" customHeight="1" x14ac:dyDescent="0.15">
      <c r="A44" s="1" t="s">
        <v>42</v>
      </c>
      <c r="B44" s="9" t="s">
        <v>45</v>
      </c>
      <c r="C44" s="9" t="s">
        <v>45</v>
      </c>
      <c r="D44" s="9" t="s">
        <v>45</v>
      </c>
      <c r="E44" s="8"/>
      <c r="G44" s="18" t="s">
        <v>55</v>
      </c>
      <c r="H44" s="21">
        <v>40</v>
      </c>
      <c r="I44" s="21">
        <v>34.4</v>
      </c>
      <c r="J44" s="21">
        <v>20.5</v>
      </c>
    </row>
    <row r="45" spans="1:10" s="1" customFormat="1" ht="12" customHeight="1" x14ac:dyDescent="0.15">
      <c r="A45" s="1" t="s">
        <v>46</v>
      </c>
      <c r="B45" s="6">
        <f>MEDIAN($B$3:$B$37)</f>
        <v>516.1</v>
      </c>
      <c r="C45" s="6">
        <f>MEDIAN($C$3:$C$37)</f>
        <v>434.7</v>
      </c>
      <c r="D45" s="6">
        <f>MEDIAN($D$3:$D$37)</f>
        <v>253.5</v>
      </c>
      <c r="E45" s="8"/>
      <c r="G45" s="18" t="s">
        <v>56</v>
      </c>
      <c r="H45" s="21">
        <v>42.9</v>
      </c>
      <c r="I45" s="21">
        <v>34.4</v>
      </c>
      <c r="J45" s="21">
        <v>25.6</v>
      </c>
    </row>
    <row r="46" spans="1:10" s="1" customFormat="1" ht="12" customHeight="1" x14ac:dyDescent="0.15">
      <c r="A46" s="1" t="s">
        <v>42</v>
      </c>
      <c r="B46" s="9" t="s">
        <v>45</v>
      </c>
      <c r="C46" s="9" t="s">
        <v>45</v>
      </c>
      <c r="D46" s="9" t="s">
        <v>45</v>
      </c>
      <c r="E46" s="8"/>
      <c r="G46" s="18" t="s">
        <v>57</v>
      </c>
      <c r="H46" s="21">
        <v>85.8</v>
      </c>
      <c r="I46" s="21">
        <v>68.8</v>
      </c>
      <c r="J46" s="21">
        <v>51.3</v>
      </c>
    </row>
    <row r="47" spans="1:10" s="1" customFormat="1" ht="12" customHeight="1" x14ac:dyDescent="0.15">
      <c r="A47" s="1" t="s">
        <v>47</v>
      </c>
      <c r="B47" s="6">
        <f>STDEV($B$3:$B$37)</f>
        <v>373.58125463562271</v>
      </c>
      <c r="C47" s="6">
        <f>STDEV($C$3:$C$37)</f>
        <v>302.03620212643051</v>
      </c>
      <c r="D47" s="6">
        <f>STDEV($D$3:$D$37)</f>
        <v>333.04615225132341</v>
      </c>
      <c r="E47" s="8"/>
      <c r="G47" s="18" t="s">
        <v>58</v>
      </c>
      <c r="H47" s="21">
        <v>104.3</v>
      </c>
      <c r="I47" s="21">
        <v>80.2</v>
      </c>
      <c r="J47" s="21">
        <v>66.7</v>
      </c>
    </row>
    <row r="48" spans="1:10" s="1" customFormat="1" ht="12" customHeight="1" x14ac:dyDescent="0.15">
      <c r="A48" s="1" t="s">
        <v>42</v>
      </c>
      <c r="B48" s="9" t="s">
        <v>45</v>
      </c>
      <c r="C48" s="9" t="s">
        <v>45</v>
      </c>
      <c r="D48" s="9" t="s">
        <v>45</v>
      </c>
      <c r="E48" s="8"/>
      <c r="G48" s="18" t="s">
        <v>59</v>
      </c>
      <c r="H48" s="21">
        <v>28.1</v>
      </c>
      <c r="I48" s="21">
        <v>11.5</v>
      </c>
      <c r="J48" s="21">
        <v>25.6</v>
      </c>
    </row>
    <row r="49" spans="1:10" s="1" customFormat="1" ht="12" customHeight="1" x14ac:dyDescent="0.15">
      <c r="A49" s="1" t="s">
        <v>48</v>
      </c>
      <c r="B49" s="6">
        <f>SUM($B$3:$B$37)</f>
        <v>21483.100000000002</v>
      </c>
      <c r="C49" s="6">
        <f>SUM($C$3:$C$37)</f>
        <v>15702.000000000002</v>
      </c>
      <c r="D49" s="6">
        <f>SUM($D$3:$D$37)</f>
        <v>11853.1</v>
      </c>
      <c r="G49" s="18" t="s">
        <v>60</v>
      </c>
      <c r="H49" s="21">
        <v>37.200000000000003</v>
      </c>
      <c r="I49" s="21">
        <v>37.200000000000003</v>
      </c>
      <c r="J49" s="21">
        <v>0</v>
      </c>
    </row>
    <row r="50" spans="1:10" ht="12" customHeight="1" x14ac:dyDescent="0.15">
      <c r="G50" s="18" t="s">
        <v>61</v>
      </c>
      <c r="H50" s="21">
        <v>158.30000000000001</v>
      </c>
      <c r="I50" s="21">
        <v>37.200000000000003</v>
      </c>
      <c r="J50" s="21">
        <v>153.80000000000001</v>
      </c>
    </row>
    <row r="51" spans="1:10" ht="12" customHeight="1" x14ac:dyDescent="0.15">
      <c r="G51" s="18" t="s">
        <v>62</v>
      </c>
      <c r="H51" s="21">
        <v>105.2</v>
      </c>
      <c r="I51" s="21">
        <v>103.2</v>
      </c>
      <c r="J51" s="21">
        <v>20.5</v>
      </c>
    </row>
    <row r="52" spans="1:10" ht="12" customHeight="1" thickBot="1" x14ac:dyDescent="0.2">
      <c r="G52" s="18" t="s">
        <v>63</v>
      </c>
      <c r="H52" s="21">
        <v>40.6</v>
      </c>
      <c r="I52" s="21">
        <v>31.5</v>
      </c>
      <c r="J52" s="21">
        <v>25.6</v>
      </c>
    </row>
    <row r="53" spans="1:10" ht="12" customHeight="1" thickBot="1" x14ac:dyDescent="0.2">
      <c r="G53" s="23" t="s">
        <v>40</v>
      </c>
      <c r="H53" s="25"/>
      <c r="I53" s="25"/>
      <c r="J53" s="25"/>
    </row>
    <row r="54" spans="1:10" ht="12" customHeight="1" x14ac:dyDescent="0.15">
      <c r="G54" s="22" t="s">
        <v>41</v>
      </c>
      <c r="H54" s="24">
        <v>234.7</v>
      </c>
      <c r="I54" s="24">
        <v>223.5</v>
      </c>
      <c r="J54" s="24">
        <v>161.5</v>
      </c>
    </row>
    <row r="55" spans="1:10" ht="12" customHeight="1" x14ac:dyDescent="0.15">
      <c r="G55" s="22" t="s">
        <v>42</v>
      </c>
      <c r="H55" s="26" t="s">
        <v>37</v>
      </c>
      <c r="I55" s="26" t="s">
        <v>37</v>
      </c>
      <c r="J55" s="26" t="s">
        <v>18</v>
      </c>
    </row>
    <row r="56" spans="1:10" ht="12" customHeight="1" x14ac:dyDescent="0.15">
      <c r="G56" s="22" t="s">
        <v>43</v>
      </c>
      <c r="H56" s="24">
        <v>14</v>
      </c>
      <c r="I56" s="24">
        <v>5.7</v>
      </c>
      <c r="J56" s="24">
        <v>0</v>
      </c>
    </row>
    <row r="57" spans="1:10" ht="12" customHeight="1" x14ac:dyDescent="0.15">
      <c r="G57" s="22" t="s">
        <v>42</v>
      </c>
      <c r="H57" s="26" t="s">
        <v>53</v>
      </c>
      <c r="I57" s="26" t="s">
        <v>53</v>
      </c>
      <c r="J57" s="26" t="s">
        <v>8</v>
      </c>
    </row>
    <row r="58" spans="1:10" ht="12" customHeight="1" x14ac:dyDescent="0.15">
      <c r="G58" s="22" t="s">
        <v>44</v>
      </c>
      <c r="H58" s="24">
        <v>81.117999999999995</v>
      </c>
      <c r="I58" s="24">
        <v>59.194000000000003</v>
      </c>
      <c r="J58" s="24">
        <v>46.402000000000001</v>
      </c>
    </row>
    <row r="59" spans="1:10" ht="12" customHeight="1" x14ac:dyDescent="0.15">
      <c r="G59" s="22" t="s">
        <v>42</v>
      </c>
      <c r="H59" s="26" t="s">
        <v>45</v>
      </c>
      <c r="I59" s="26" t="s">
        <v>45</v>
      </c>
      <c r="J59" s="26" t="s">
        <v>45</v>
      </c>
    </row>
    <row r="60" spans="1:10" ht="12" customHeight="1" x14ac:dyDescent="0.15">
      <c r="G60" s="22" t="s">
        <v>46</v>
      </c>
      <c r="H60" s="24">
        <v>65.900000000000006</v>
      </c>
      <c r="I60" s="24">
        <v>51.55</v>
      </c>
      <c r="J60" s="24">
        <v>25.6</v>
      </c>
    </row>
    <row r="61" spans="1:10" ht="12" customHeight="1" x14ac:dyDescent="0.15">
      <c r="G61" s="22" t="s">
        <v>42</v>
      </c>
      <c r="H61" s="26" t="s">
        <v>45</v>
      </c>
      <c r="I61" s="26" t="s">
        <v>45</v>
      </c>
      <c r="J61" s="26" t="s">
        <v>45</v>
      </c>
    </row>
    <row r="62" spans="1:10" ht="12" customHeight="1" x14ac:dyDescent="0.15">
      <c r="G62" s="22" t="s">
        <v>47</v>
      </c>
      <c r="H62" s="24">
        <v>49.822700710845147</v>
      </c>
      <c r="I62" s="24">
        <v>40.575685943627832</v>
      </c>
      <c r="J62" s="24">
        <v>42.175592564459194</v>
      </c>
    </row>
    <row r="63" spans="1:10" ht="12" customHeight="1" x14ac:dyDescent="0.15">
      <c r="G63" s="22" t="s">
        <v>42</v>
      </c>
      <c r="H63" s="26" t="s">
        <v>45</v>
      </c>
      <c r="I63" s="26" t="s">
        <v>45</v>
      </c>
      <c r="J63" s="26" t="s">
        <v>45</v>
      </c>
    </row>
    <row r="64" spans="1:10" ht="12" customHeight="1" x14ac:dyDescent="0.15">
      <c r="G64" s="22" t="s">
        <v>48</v>
      </c>
      <c r="H64" s="24">
        <v>4055.8999999999996</v>
      </c>
      <c r="I64" s="24">
        <v>2959.7000000000003</v>
      </c>
      <c r="J64" s="24">
        <v>2320.1</v>
      </c>
    </row>
  </sheetData>
  <printOptions headings="1" gridLines="1"/>
  <pageMargins left="0.75" right="0.75" top="1" bottom="0" header="0" footer="0"/>
  <pageSetup paperSize="0" scale="0" orientation="portrait" usePrinterDefaults="0" blackAndWhite="1" horizontalDpi="0" verticalDpi="0" copies="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"/>
  <sheetViews>
    <sheetView workbookViewId="0">
      <selection activeCell="G18" sqref="G18"/>
    </sheetView>
  </sheetViews>
  <sheetFormatPr defaultRowHeight="10.5" x14ac:dyDescent="0.15"/>
  <sheetData>
    <row r="1" spans="1:5" ht="11.25" thickBot="1" x14ac:dyDescent="0.2">
      <c r="A1" s="10" t="s">
        <v>0</v>
      </c>
      <c r="B1" s="10" t="s">
        <v>1</v>
      </c>
      <c r="C1" s="10" t="s">
        <v>2</v>
      </c>
      <c r="D1" s="10" t="s">
        <v>3</v>
      </c>
      <c r="E1" s="10"/>
    </row>
    <row r="2" spans="1:5" ht="11.25" thickBot="1" x14ac:dyDescent="0.2">
      <c r="A2" s="11" t="s">
        <v>4</v>
      </c>
      <c r="B2" s="12"/>
      <c r="C2" s="12"/>
      <c r="D2" s="12"/>
      <c r="E2" s="13"/>
    </row>
    <row r="3" spans="1:5" x14ac:dyDescent="0.15">
      <c r="A3" s="10" t="s">
        <v>5</v>
      </c>
      <c r="B3" s="14">
        <v>139.1</v>
      </c>
      <c r="C3" s="14">
        <v>137.5</v>
      </c>
      <c r="D3" s="14">
        <v>20.5</v>
      </c>
      <c r="E3" s="10"/>
    </row>
    <row r="4" spans="1:5" x14ac:dyDescent="0.15">
      <c r="A4" s="10" t="s">
        <v>6</v>
      </c>
      <c r="B4" s="14">
        <v>47.6</v>
      </c>
      <c r="C4" s="14">
        <v>40.1</v>
      </c>
      <c r="D4" s="14">
        <v>25.6</v>
      </c>
      <c r="E4" s="10"/>
    </row>
    <row r="5" spans="1:5" x14ac:dyDescent="0.15">
      <c r="A5" s="10" t="s">
        <v>7</v>
      </c>
      <c r="B5" s="14">
        <v>59.3</v>
      </c>
      <c r="C5" s="14">
        <v>37.200000000000003</v>
      </c>
      <c r="D5" s="14">
        <v>46.2</v>
      </c>
      <c r="E5" s="10"/>
    </row>
    <row r="6" spans="1:5" x14ac:dyDescent="0.15">
      <c r="A6" s="10" t="s">
        <v>8</v>
      </c>
      <c r="B6" s="14">
        <v>65.900000000000006</v>
      </c>
      <c r="C6" s="14">
        <v>65.900000000000006</v>
      </c>
      <c r="D6" s="14">
        <v>0</v>
      </c>
      <c r="E6" s="10"/>
    </row>
    <row r="7" spans="1:5" x14ac:dyDescent="0.15">
      <c r="A7" s="10" t="s">
        <v>9</v>
      </c>
      <c r="B7" s="14">
        <v>52.9</v>
      </c>
      <c r="C7" s="14">
        <v>48.7</v>
      </c>
      <c r="D7" s="14">
        <v>20.5</v>
      </c>
      <c r="E7" s="10"/>
    </row>
    <row r="8" spans="1:5" x14ac:dyDescent="0.15">
      <c r="A8" s="10" t="s">
        <v>10</v>
      </c>
      <c r="B8" s="14">
        <v>15.2</v>
      </c>
      <c r="C8" s="14">
        <v>14.3</v>
      </c>
      <c r="D8" s="14">
        <v>5.0999999999999996</v>
      </c>
      <c r="E8" s="10"/>
    </row>
    <row r="9" spans="1:5" x14ac:dyDescent="0.15">
      <c r="A9" s="10" t="s">
        <v>11</v>
      </c>
      <c r="B9" s="14">
        <v>69.2</v>
      </c>
      <c r="C9" s="14">
        <v>68.8</v>
      </c>
      <c r="D9" s="14">
        <v>7.7</v>
      </c>
      <c r="E9" s="10"/>
    </row>
    <row r="10" spans="1:5" x14ac:dyDescent="0.15">
      <c r="A10" s="10" t="s">
        <v>12</v>
      </c>
      <c r="B10" s="14">
        <v>53.2</v>
      </c>
      <c r="C10" s="14">
        <v>14.3</v>
      </c>
      <c r="D10" s="14">
        <v>51.3</v>
      </c>
      <c r="E10" s="10"/>
    </row>
    <row r="11" spans="1:5" x14ac:dyDescent="0.15">
      <c r="A11" s="10" t="s">
        <v>13</v>
      </c>
      <c r="B11" s="14">
        <v>77.599999999999994</v>
      </c>
      <c r="C11" s="14">
        <v>65.900000000000006</v>
      </c>
      <c r="D11" s="14">
        <v>41</v>
      </c>
      <c r="E11" s="10"/>
    </row>
    <row r="12" spans="1:5" x14ac:dyDescent="0.15">
      <c r="A12" s="10" t="s">
        <v>14</v>
      </c>
      <c r="B12" s="14">
        <v>83.8</v>
      </c>
      <c r="C12" s="14">
        <v>17.2</v>
      </c>
      <c r="D12" s="14">
        <v>82</v>
      </c>
      <c r="E12" s="10"/>
    </row>
    <row r="13" spans="1:5" x14ac:dyDescent="0.15">
      <c r="A13" s="10" t="s">
        <v>15</v>
      </c>
      <c r="B13" s="14">
        <v>109.2</v>
      </c>
      <c r="C13" s="14">
        <v>103.2</v>
      </c>
      <c r="D13" s="14">
        <v>35.9</v>
      </c>
      <c r="E13" s="10"/>
    </row>
    <row r="14" spans="1:5" x14ac:dyDescent="0.15">
      <c r="A14" s="10" t="s">
        <v>16</v>
      </c>
      <c r="B14" s="14">
        <v>93.7</v>
      </c>
      <c r="C14" s="14">
        <v>60.2</v>
      </c>
      <c r="D14" s="14">
        <v>71.8</v>
      </c>
      <c r="E14" s="10"/>
    </row>
    <row r="15" spans="1:5" x14ac:dyDescent="0.15">
      <c r="A15" s="10" t="s">
        <v>17</v>
      </c>
      <c r="B15" s="14">
        <v>38.5</v>
      </c>
      <c r="C15" s="14">
        <v>28.7</v>
      </c>
      <c r="D15" s="14">
        <v>25.6</v>
      </c>
      <c r="E15" s="10"/>
    </row>
    <row r="16" spans="1:5" x14ac:dyDescent="0.15">
      <c r="A16" s="10" t="s">
        <v>18</v>
      </c>
      <c r="B16" s="14">
        <v>167.9</v>
      </c>
      <c r="C16" s="14">
        <v>45.8</v>
      </c>
      <c r="D16" s="14">
        <v>161.5</v>
      </c>
      <c r="E16" s="10"/>
    </row>
    <row r="17" spans="1:4" x14ac:dyDescent="0.15">
      <c r="A17" s="10" t="s">
        <v>19</v>
      </c>
      <c r="B17" s="14">
        <v>115.3</v>
      </c>
      <c r="C17" s="14">
        <v>114.6</v>
      </c>
      <c r="D17" s="14">
        <v>12.8</v>
      </c>
    </row>
    <row r="18" spans="1:4" x14ac:dyDescent="0.15">
      <c r="A18" s="10" t="s">
        <v>20</v>
      </c>
      <c r="B18" s="14">
        <v>151.1</v>
      </c>
      <c r="C18" s="14">
        <v>106</v>
      </c>
      <c r="D18" s="14">
        <v>107.7</v>
      </c>
    </row>
    <row r="19" spans="1:4" x14ac:dyDescent="0.15">
      <c r="A19" s="10" t="s">
        <v>21</v>
      </c>
      <c r="B19" s="14">
        <v>47.6</v>
      </c>
      <c r="C19" s="14">
        <v>40.1</v>
      </c>
      <c r="D19" s="14">
        <v>25.6</v>
      </c>
    </row>
    <row r="20" spans="1:4" x14ac:dyDescent="0.15">
      <c r="A20" s="10" t="s">
        <v>22</v>
      </c>
      <c r="B20" s="14">
        <v>45.2</v>
      </c>
      <c r="C20" s="14">
        <v>37.200000000000003</v>
      </c>
      <c r="D20" s="14">
        <v>25.6</v>
      </c>
    </row>
    <row r="21" spans="1:4" x14ac:dyDescent="0.15">
      <c r="A21" s="10" t="s">
        <v>23</v>
      </c>
      <c r="B21" s="14">
        <v>69.7</v>
      </c>
      <c r="C21" s="14">
        <v>54.4</v>
      </c>
      <c r="D21" s="14">
        <v>43.6</v>
      </c>
    </row>
    <row r="22" spans="1:4" x14ac:dyDescent="0.15">
      <c r="A22" s="10" t="s">
        <v>24</v>
      </c>
      <c r="B22" s="14">
        <v>51.5</v>
      </c>
      <c r="C22" s="14">
        <v>22.9</v>
      </c>
      <c r="D22" s="14">
        <v>46.2</v>
      </c>
    </row>
    <row r="23" spans="1:4" x14ac:dyDescent="0.15">
      <c r="A23" s="10" t="s">
        <v>25</v>
      </c>
      <c r="B23" s="14">
        <v>43.8</v>
      </c>
      <c r="C23" s="14">
        <v>37.200000000000003</v>
      </c>
      <c r="D23" s="14">
        <v>23.1</v>
      </c>
    </row>
    <row r="24" spans="1:4" x14ac:dyDescent="0.15">
      <c r="A24" s="10" t="s">
        <v>26</v>
      </c>
      <c r="B24" s="14">
        <v>47.6</v>
      </c>
      <c r="C24" s="14">
        <v>43</v>
      </c>
      <c r="D24" s="14">
        <v>20.5</v>
      </c>
    </row>
    <row r="25" spans="1:4" x14ac:dyDescent="0.15">
      <c r="A25" s="10" t="s">
        <v>27</v>
      </c>
      <c r="B25" s="14">
        <v>58.5</v>
      </c>
      <c r="C25" s="14">
        <v>22.9</v>
      </c>
      <c r="D25" s="14">
        <v>53.8</v>
      </c>
    </row>
    <row r="26" spans="1:4" x14ac:dyDescent="0.15">
      <c r="A26" s="10" t="s">
        <v>28</v>
      </c>
      <c r="B26" s="14">
        <v>214</v>
      </c>
      <c r="C26" s="14">
        <v>143.30000000000001</v>
      </c>
      <c r="D26" s="14">
        <v>159</v>
      </c>
    </row>
    <row r="27" spans="1:4" x14ac:dyDescent="0.15">
      <c r="A27" s="10" t="s">
        <v>29</v>
      </c>
      <c r="B27" s="14">
        <v>110.1</v>
      </c>
      <c r="C27" s="14">
        <v>94.6</v>
      </c>
      <c r="D27" s="14">
        <v>56.4</v>
      </c>
    </row>
    <row r="28" spans="1:4" x14ac:dyDescent="0.15">
      <c r="A28" s="10" t="s">
        <v>30</v>
      </c>
      <c r="B28" s="14">
        <v>35.200000000000003</v>
      </c>
      <c r="C28" s="14">
        <v>28.7</v>
      </c>
      <c r="D28" s="14">
        <v>20.5</v>
      </c>
    </row>
    <row r="29" spans="1:4" x14ac:dyDescent="0.15">
      <c r="A29" s="10" t="s">
        <v>31</v>
      </c>
      <c r="B29" s="14">
        <v>40.299999999999997</v>
      </c>
      <c r="C29" s="14">
        <v>37.200000000000003</v>
      </c>
      <c r="D29" s="14">
        <v>15.4</v>
      </c>
    </row>
    <row r="30" spans="1:4" x14ac:dyDescent="0.15">
      <c r="A30" s="10" t="s">
        <v>32</v>
      </c>
      <c r="B30" s="14">
        <v>89.9</v>
      </c>
      <c r="C30" s="14">
        <v>63</v>
      </c>
      <c r="D30" s="14">
        <v>64.099999999999994</v>
      </c>
    </row>
    <row r="31" spans="1:4" x14ac:dyDescent="0.15">
      <c r="A31" s="10" t="s">
        <v>33</v>
      </c>
      <c r="B31" s="14">
        <v>108.8</v>
      </c>
      <c r="C31" s="14">
        <v>94.6</v>
      </c>
      <c r="D31" s="14">
        <v>53.8</v>
      </c>
    </row>
    <row r="32" spans="1:4" x14ac:dyDescent="0.15">
      <c r="A32" s="10" t="s">
        <v>34</v>
      </c>
      <c r="B32" s="14">
        <v>19.2</v>
      </c>
      <c r="C32" s="14">
        <v>11.5</v>
      </c>
      <c r="D32" s="14">
        <v>15.4</v>
      </c>
    </row>
    <row r="33" spans="1:4" x14ac:dyDescent="0.15">
      <c r="A33" s="10" t="s">
        <v>35</v>
      </c>
      <c r="B33" s="14">
        <v>118.9</v>
      </c>
      <c r="C33" s="14">
        <v>106</v>
      </c>
      <c r="D33" s="14">
        <v>53.8</v>
      </c>
    </row>
    <row r="34" spans="1:4" x14ac:dyDescent="0.15">
      <c r="A34" s="10" t="s">
        <v>36</v>
      </c>
      <c r="B34" s="14">
        <v>146.4</v>
      </c>
      <c r="C34" s="14">
        <v>65.900000000000006</v>
      </c>
      <c r="D34" s="14">
        <v>130.80000000000001</v>
      </c>
    </row>
    <row r="35" spans="1:4" x14ac:dyDescent="0.15">
      <c r="A35" s="10" t="s">
        <v>37</v>
      </c>
      <c r="B35" s="14">
        <v>234.7</v>
      </c>
      <c r="C35" s="14">
        <v>223.5</v>
      </c>
      <c r="D35" s="14">
        <v>71.8</v>
      </c>
    </row>
    <row r="36" spans="1:4" x14ac:dyDescent="0.15">
      <c r="A36" s="10" t="s">
        <v>38</v>
      </c>
      <c r="B36" s="14">
        <v>92.6</v>
      </c>
      <c r="C36" s="14">
        <v>80.2</v>
      </c>
      <c r="D36" s="14">
        <v>46.2</v>
      </c>
    </row>
    <row r="37" spans="1:4" x14ac:dyDescent="0.15">
      <c r="A37" s="10" t="s">
        <v>39</v>
      </c>
      <c r="B37" s="14">
        <v>120.4</v>
      </c>
      <c r="C37" s="14">
        <v>77.400000000000006</v>
      </c>
      <c r="D37" s="14">
        <v>92.3</v>
      </c>
    </row>
    <row r="38" spans="1:4" x14ac:dyDescent="0.15">
      <c r="A38" s="10" t="s">
        <v>49</v>
      </c>
      <c r="B38" s="14">
        <v>65.900000000000006</v>
      </c>
      <c r="C38" s="14">
        <v>65.900000000000006</v>
      </c>
      <c r="D38" s="14">
        <v>0</v>
      </c>
    </row>
    <row r="39" spans="1:4" x14ac:dyDescent="0.15">
      <c r="A39" s="10" t="s">
        <v>50</v>
      </c>
      <c r="B39" s="14">
        <v>151</v>
      </c>
      <c r="C39" s="14">
        <v>60.2</v>
      </c>
      <c r="D39" s="14">
        <v>138.5</v>
      </c>
    </row>
    <row r="40" spans="1:4" x14ac:dyDescent="0.15">
      <c r="A40" s="10" t="s">
        <v>51</v>
      </c>
      <c r="B40" s="14">
        <v>33</v>
      </c>
      <c r="C40" s="14">
        <v>25.8</v>
      </c>
      <c r="D40" s="14">
        <v>20.5</v>
      </c>
    </row>
    <row r="41" spans="1:4" x14ac:dyDescent="0.15">
      <c r="A41" s="10" t="s">
        <v>52</v>
      </c>
      <c r="B41" s="14">
        <v>58.2</v>
      </c>
      <c r="C41" s="14">
        <v>54.4</v>
      </c>
      <c r="D41" s="14">
        <v>20.5</v>
      </c>
    </row>
    <row r="42" spans="1:4" x14ac:dyDescent="0.15">
      <c r="A42" s="10" t="s">
        <v>53</v>
      </c>
      <c r="B42" s="14">
        <v>14</v>
      </c>
      <c r="C42" s="14">
        <v>5.7</v>
      </c>
      <c r="D42" s="14">
        <v>12.8</v>
      </c>
    </row>
    <row r="43" spans="1:4" x14ac:dyDescent="0.15">
      <c r="A43" s="10" t="s">
        <v>54</v>
      </c>
      <c r="B43" s="14">
        <v>57.5</v>
      </c>
      <c r="C43" s="14">
        <v>57.3</v>
      </c>
      <c r="D43" s="14">
        <v>5.0999999999999996</v>
      </c>
    </row>
    <row r="44" spans="1:4" x14ac:dyDescent="0.15">
      <c r="A44" s="10" t="s">
        <v>55</v>
      </c>
      <c r="B44" s="14">
        <v>40</v>
      </c>
      <c r="C44" s="14">
        <v>34.4</v>
      </c>
      <c r="D44" s="14">
        <v>20.5</v>
      </c>
    </row>
    <row r="45" spans="1:4" x14ac:dyDescent="0.15">
      <c r="A45" s="10" t="s">
        <v>56</v>
      </c>
      <c r="B45" s="14">
        <v>42.9</v>
      </c>
      <c r="C45" s="14">
        <v>34.4</v>
      </c>
      <c r="D45" s="14">
        <v>25.6</v>
      </c>
    </row>
    <row r="46" spans="1:4" x14ac:dyDescent="0.15">
      <c r="A46" s="10" t="s">
        <v>57</v>
      </c>
      <c r="B46" s="14">
        <v>85.8</v>
      </c>
      <c r="C46" s="14">
        <v>68.8</v>
      </c>
      <c r="D46" s="14">
        <v>51.3</v>
      </c>
    </row>
    <row r="47" spans="1:4" x14ac:dyDescent="0.15">
      <c r="A47" s="10" t="s">
        <v>58</v>
      </c>
      <c r="B47" s="14">
        <v>104.3</v>
      </c>
      <c r="C47" s="14">
        <v>80.2</v>
      </c>
      <c r="D47" s="14">
        <v>66.7</v>
      </c>
    </row>
    <row r="48" spans="1:4" x14ac:dyDescent="0.15">
      <c r="A48" s="10" t="s">
        <v>59</v>
      </c>
      <c r="B48" s="14">
        <v>28.1</v>
      </c>
      <c r="C48" s="14">
        <v>11.5</v>
      </c>
      <c r="D48" s="14">
        <v>25.6</v>
      </c>
    </row>
    <row r="49" spans="1:5" x14ac:dyDescent="0.15">
      <c r="A49" s="10" t="s">
        <v>60</v>
      </c>
      <c r="B49" s="14">
        <v>37.200000000000003</v>
      </c>
      <c r="C49" s="14">
        <v>37.200000000000003</v>
      </c>
      <c r="D49" s="14">
        <v>0</v>
      </c>
      <c r="E49" s="10"/>
    </row>
    <row r="50" spans="1:5" x14ac:dyDescent="0.15">
      <c r="A50" s="10" t="s">
        <v>61</v>
      </c>
      <c r="B50" s="14">
        <v>158.30000000000001</v>
      </c>
      <c r="C50" s="14">
        <v>37.200000000000003</v>
      </c>
      <c r="D50" s="14">
        <v>153.80000000000001</v>
      </c>
      <c r="E50" s="10"/>
    </row>
    <row r="51" spans="1:5" x14ac:dyDescent="0.15">
      <c r="A51" s="10" t="s">
        <v>62</v>
      </c>
      <c r="B51" s="14">
        <v>105.2</v>
      </c>
      <c r="C51" s="14">
        <v>103.2</v>
      </c>
      <c r="D51" s="14">
        <v>20.5</v>
      </c>
      <c r="E51" s="10"/>
    </row>
    <row r="52" spans="1:5" ht="11.25" thickBot="1" x14ac:dyDescent="0.2">
      <c r="A52" s="10" t="s">
        <v>63</v>
      </c>
      <c r="B52" s="14">
        <v>40.6</v>
      </c>
      <c r="C52" s="14">
        <v>31.5</v>
      </c>
      <c r="D52" s="14">
        <v>25.6</v>
      </c>
      <c r="E52" s="10"/>
    </row>
    <row r="53" spans="1:5" ht="11.25" thickBot="1" x14ac:dyDescent="0.2">
      <c r="A53" s="11" t="s">
        <v>40</v>
      </c>
      <c r="B53" s="15"/>
      <c r="C53" s="15"/>
      <c r="D53" s="15"/>
      <c r="E53" s="13"/>
    </row>
    <row r="54" spans="1:5" x14ac:dyDescent="0.15">
      <c r="A54" s="10" t="s">
        <v>41</v>
      </c>
      <c r="B54" s="14">
        <v>234.7</v>
      </c>
      <c r="C54" s="14">
        <v>223.5</v>
      </c>
      <c r="D54" s="14">
        <v>161.5</v>
      </c>
      <c r="E54" s="16"/>
    </row>
    <row r="55" spans="1:5" x14ac:dyDescent="0.15">
      <c r="A55" s="10" t="s">
        <v>42</v>
      </c>
      <c r="B55" s="17" t="s">
        <v>37</v>
      </c>
      <c r="C55" s="17" t="s">
        <v>37</v>
      </c>
      <c r="D55" s="17" t="s">
        <v>18</v>
      </c>
      <c r="E55" s="16"/>
    </row>
    <row r="56" spans="1:5" x14ac:dyDescent="0.15">
      <c r="A56" s="10" t="s">
        <v>43</v>
      </c>
      <c r="B56" s="14">
        <v>14</v>
      </c>
      <c r="C56" s="14">
        <v>5.7</v>
      </c>
      <c r="D56" s="14">
        <v>0</v>
      </c>
      <c r="E56" s="16"/>
    </row>
    <row r="57" spans="1:5" x14ac:dyDescent="0.15">
      <c r="A57" s="10" t="s">
        <v>42</v>
      </c>
      <c r="B57" s="17" t="s">
        <v>53</v>
      </c>
      <c r="C57" s="17" t="s">
        <v>53</v>
      </c>
      <c r="D57" s="17" t="s">
        <v>8</v>
      </c>
      <c r="E57" s="16"/>
    </row>
    <row r="58" spans="1:5" x14ac:dyDescent="0.15">
      <c r="A58" s="10" t="s">
        <v>44</v>
      </c>
      <c r="B58" s="14">
        <v>81.117999999999995</v>
      </c>
      <c r="C58" s="14">
        <v>59.194000000000003</v>
      </c>
      <c r="D58" s="14">
        <v>46.402000000000001</v>
      </c>
      <c r="E58" s="16"/>
    </row>
    <row r="59" spans="1:5" x14ac:dyDescent="0.15">
      <c r="A59" s="10" t="s">
        <v>42</v>
      </c>
      <c r="B59" s="17" t="s">
        <v>45</v>
      </c>
      <c r="C59" s="17" t="s">
        <v>45</v>
      </c>
      <c r="D59" s="17" t="s">
        <v>45</v>
      </c>
      <c r="E59" s="16"/>
    </row>
    <row r="60" spans="1:5" x14ac:dyDescent="0.15">
      <c r="A60" s="10" t="s">
        <v>46</v>
      </c>
      <c r="B60" s="14">
        <v>65.900000000000006</v>
      </c>
      <c r="C60" s="14">
        <v>51.55</v>
      </c>
      <c r="D60" s="14">
        <v>25.6</v>
      </c>
      <c r="E60" s="16"/>
    </row>
    <row r="61" spans="1:5" x14ac:dyDescent="0.15">
      <c r="A61" s="10" t="s">
        <v>42</v>
      </c>
      <c r="B61" s="17" t="s">
        <v>45</v>
      </c>
      <c r="C61" s="17" t="s">
        <v>45</v>
      </c>
      <c r="D61" s="17" t="s">
        <v>45</v>
      </c>
      <c r="E61" s="16"/>
    </row>
    <row r="62" spans="1:5" x14ac:dyDescent="0.15">
      <c r="A62" s="10" t="s">
        <v>47</v>
      </c>
      <c r="B62" s="14">
        <v>49.822700710845147</v>
      </c>
      <c r="C62" s="14">
        <v>40.575685943627832</v>
      </c>
      <c r="D62" s="14">
        <v>42.175592564459194</v>
      </c>
      <c r="E62" s="16"/>
    </row>
    <row r="63" spans="1:5" x14ac:dyDescent="0.15">
      <c r="A63" s="10" t="s">
        <v>42</v>
      </c>
      <c r="B63" s="17" t="s">
        <v>45</v>
      </c>
      <c r="C63" s="17" t="s">
        <v>45</v>
      </c>
      <c r="D63" s="17" t="s">
        <v>45</v>
      </c>
      <c r="E63" s="16"/>
    </row>
    <row r="64" spans="1:5" x14ac:dyDescent="0.15">
      <c r="A64" s="10" t="s">
        <v>48</v>
      </c>
      <c r="B64" s="14">
        <v>4055.8999999999996</v>
      </c>
      <c r="C64" s="14">
        <v>2959.7000000000003</v>
      </c>
      <c r="D64" s="14">
        <v>2320.1</v>
      </c>
      <c r="E64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Sterling Baird</cp:lastModifiedBy>
  <dcterms:created xsi:type="dcterms:W3CDTF">2019-06-10T15:51:54Z</dcterms:created>
  <dcterms:modified xsi:type="dcterms:W3CDTF">2019-06-10T16:16:16Z</dcterms:modified>
</cp:coreProperties>
</file>