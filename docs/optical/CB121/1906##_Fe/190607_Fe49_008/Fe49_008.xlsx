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\Desktop\User Storage\Sterling Baird - Optical\1906##_Fe\190607_Fe49_009\"/>
    </mc:Choice>
  </mc:AlternateContent>
  <bookViews>
    <workbookView xWindow="0" yWindow="0" windowWidth="13035" windowHeight="8955"/>
  </bookViews>
  <sheets>
    <sheet name="Lines" sheetId="1" r:id="rId1"/>
  </sheets>
  <definedNames>
    <definedName name="_xlchart.0" hidden="1">Lines!$B$3:$B$37</definedName>
    <definedName name="_xlchart.1" hidden="1">Lines!$B$3:$B$37</definedName>
  </definedNames>
  <calcPr calcId="162913" calcMode="manual" iterateCount="1"/>
</workbook>
</file>

<file path=xl/calcChain.xml><?xml version="1.0" encoding="utf-8"?>
<calcChain xmlns="http://schemas.openxmlformats.org/spreadsheetml/2006/main">
  <c r="B39" i="1" l="1"/>
  <c r="C39" i="1"/>
  <c r="D39" i="1"/>
  <c r="B41" i="1"/>
  <c r="C41" i="1"/>
  <c r="D41" i="1"/>
  <c r="B43" i="1"/>
  <c r="C43" i="1"/>
  <c r="D43" i="1"/>
  <c r="B45" i="1"/>
  <c r="C45" i="1"/>
  <c r="D45" i="1"/>
  <c r="B47" i="1"/>
  <c r="C47" i="1"/>
  <c r="D47" i="1"/>
  <c r="B49" i="1"/>
  <c r="C49" i="1"/>
  <c r="D49" i="1"/>
</calcChain>
</file>

<file path=xl/sharedStrings.xml><?xml version="1.0" encoding="utf-8"?>
<sst xmlns="http://schemas.openxmlformats.org/spreadsheetml/2006/main" count="67" uniqueCount="49">
  <si>
    <t>Line</t>
  </si>
  <si>
    <t>D value (µm)</t>
  </si>
  <si>
    <t>X value (µm)</t>
  </si>
  <si>
    <t>Y value (µm)</t>
  </si>
  <si>
    <t>Data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</si>
  <si>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</si>
  <si>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</si>
  <si>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</si>
  <si>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</si>
  <si>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</si>
  <si>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</si>
  <si>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</si>
  <si>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</si>
  <si>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</si>
  <si>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</si>
  <si>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</si>
  <si>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</si>
  <si>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</si>
  <si>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</si>
  <si>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</si>
  <si>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</si>
  <si>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</si>
  <si>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</si>
  <si>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</si>
  <si>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</si>
  <si>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</si>
  <si>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</si>
  <si>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</si>
  <si>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</si>
  <si>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</si>
  <si>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</si>
  <si>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</si>
  <si>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</si>
  <si>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</si>
  <si>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</si>
  <si>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</si>
  <si>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</si>
  <si>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</si>
  <si>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</si>
  <si>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</si>
  <si>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Statistics</t>
  </si>
  <si>
    <t>Largest</t>
  </si>
  <si>
    <t>Item</t>
  </si>
  <si>
    <t>Smallest</t>
  </si>
  <si>
    <t>Mean</t>
  </si>
  <si>
    <t>N/A</t>
  </si>
  <si>
    <t>Median</t>
  </si>
  <si>
    <t>Std. Dev.</t>
  </si>
  <si>
    <t>Sum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</si>
</sst>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0.0;\-###0.0"/>
  </numFmts>
  <fonts count="4" x14ac:knownFonts="1">
    <font>
      <sz val="8"/>
      <name val="MS Sans Serif"/>
      <charset val="1"/>
    </font>
    <font>
      <b/>
      <sz val="8"/>
      <name val="MS Sans Serif"/>
      <charset val="1"/>
    </font>
    <font>
      <b/>
      <sz val="8"/>
      <color indexed="18"/>
      <name val="MS Sans Serif"/>
      <charset val="1"/>
    </font>
    <font>
      <sz val="8"/>
      <color indexed="18"/>
      <name val="MS Sans Serif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 applyAlignment="0">
      <alignment vertical="top" wrapText="1"/>
      <protection locked="0"/>
    </xf>
  </cellStyleXfs>
  <cellXfs count="10">
    <xf numFmtId="0" fontId="0" fillId="0" borderId="0" xfId="0" applyAlignment="1" applyProtection="1"/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0" fontId="1" fillId="2" borderId="0" xfId="0" applyFont="1" applyFill="1" applyAlignment="1">
      <alignment horizontal="left" vertical="top"/>
      <protection locked="0"/>
    </xf>
    <xf numFmtId="0" fontId="2" fillId="2" borderId="0" xfId="0" applyFont="1" applyFill="1" applyAlignment="1">
      <alignment horizontal="left" vertical="top"/>
      <protection locked="0"/>
    </xf>
    <xf numFmtId="0" fontId="2" fillId="2" borderId="1" xfId="0" applyFont="1" applyFill="1" applyBorder="1" applyAlignment="1">
      <alignment horizontal="left" vertical="top"/>
      <protection locked="0"/>
    </xf>
    <xf numFmtId="0" fontId="3" fillId="2" borderId="0" xfId="0" applyFont="1" applyFill="1" applyAlignment="1">
      <alignment horizontal="left" vertical="top"/>
      <protection locked="0"/>
    </xf>
    <xf numFmtId="164" fontId="0" fillId="0" borderId="0" xfId="0" applyNumberFormat="1" applyAlignment="1">
      <alignment horizontal="right" vertical="top"/>
      <protection locked="0"/>
    </xf>
    <xf numFmtId="164" fontId="2" fillId="2" borderId="1" xfId="0" applyNumberFormat="1" applyFont="1" applyFill="1" applyBorder="1" applyAlignment="1">
      <alignment horizontal="right" vertical="top"/>
      <protection locked="0"/>
    </xf>
    <xf numFmtId="0" fontId="1" fillId="0" borderId="0" xfId="0" applyFont="1" applyAlignment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_xlchart.0</cx:f>
      </cx:numDim>
    </cx:data>
  </cx:chartData>
  <cx:chart>
    <cx:plotArea>
      <cx:plotAreaRegion>
        <cx:series layoutId="clusteredColumn" uniqueId="{8AB3D5F2-509E-4083-8009-15BFBAF913AB}">
          <cx:dataId val="0"/>
          <cx:layoutPr>
            <cx:binning intervalClosed="r">
              <cx:binSize val="200"/>
            </cx:binning>
          </cx:layoutPr>
        </cx:series>
      </cx:plotAreaRegion>
      <cx:axis id="0">
        <cx:catScaling gapWidth="0.200000003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Bin Range (µm)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Number of Grains</a:t>
                </a: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10</xdr:row>
      <xdr:rowOff>38100</xdr:rowOff>
    </xdr:from>
    <xdr:to>
      <xdr:col>12</xdr:col>
      <xdr:colOff>95250</xdr:colOff>
      <xdr:row>31</xdr:row>
      <xdr:rowOff>38100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workbookViewId="0">
      <selection activeCell="O22" sqref="O22"/>
    </sheetView>
  </sheetViews>
  <sheetFormatPr defaultColWidth="10.83203125" defaultRowHeight="12" customHeight="1" x14ac:dyDescent="0.15"/>
  <cols>
    <col min="1" max="1" width="10.83203125" style="1" customWidth="1"/>
    <col min="2" max="4" width="20.1640625" style="2" customWidth="1"/>
    <col min="5" max="16384" width="10.83203125" style="1"/>
  </cols>
  <sheetData>
    <row r="1" spans="1:5" s="2" customFormat="1" ht="12" customHeight="1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5" s="3" customFormat="1" ht="12" customHeight="1" x14ac:dyDescent="0.15">
      <c r="A2" s="4" t="s">
        <v>4</v>
      </c>
      <c r="B2" s="5"/>
      <c r="C2" s="5"/>
      <c r="D2" s="5"/>
      <c r="E2" s="6"/>
    </row>
    <row r="3" spans="1:5" s="2" customFormat="1" ht="12" customHeight="1" x14ac:dyDescent="0.15">
      <c r="A3" s="2" t="s">
        <v>5</v>
      </c>
      <c r="B3" s="7">
        <v>246.3</v>
      </c>
      <c r="C3" s="7">
        <v>144.9</v>
      </c>
      <c r="D3" s="7">
        <v>199.2</v>
      </c>
    </row>
    <row r="4" spans="1:5" s="2" customFormat="1" ht="12" customHeight="1" x14ac:dyDescent="0.15">
      <c r="A4" s="2" t="s">
        <v>6</v>
      </c>
      <c r="B4" s="7">
        <v>965.5</v>
      </c>
      <c r="C4" s="7">
        <v>905.5</v>
      </c>
      <c r="D4" s="7">
        <v>335</v>
      </c>
    </row>
    <row r="5" spans="1:5" s="2" customFormat="1" ht="12" customHeight="1" x14ac:dyDescent="0.15">
      <c r="A5" s="2" t="s">
        <v>7</v>
      </c>
      <c r="B5" s="7">
        <v>509.1</v>
      </c>
      <c r="C5" s="7">
        <v>507.1</v>
      </c>
      <c r="D5" s="7">
        <v>45.3</v>
      </c>
    </row>
    <row r="6" spans="1:5" s="2" customFormat="1" ht="12" customHeight="1" x14ac:dyDescent="0.15">
      <c r="A6" s="2" t="s">
        <v>8</v>
      </c>
      <c r="B6" s="7">
        <v>977.2</v>
      </c>
      <c r="C6" s="7">
        <v>525.20000000000005</v>
      </c>
      <c r="D6" s="7">
        <v>824</v>
      </c>
    </row>
    <row r="7" spans="1:5" s="2" customFormat="1" ht="12" customHeight="1" x14ac:dyDescent="0.15">
      <c r="A7" s="2" t="s">
        <v>9</v>
      </c>
      <c r="B7" s="7">
        <v>1045.4000000000001</v>
      </c>
      <c r="C7" s="7">
        <v>950.8</v>
      </c>
      <c r="D7" s="7">
        <v>434.7</v>
      </c>
    </row>
    <row r="8" spans="1:5" s="2" customFormat="1" ht="12" customHeight="1" x14ac:dyDescent="0.15">
      <c r="A8" s="2" t="s">
        <v>10</v>
      </c>
      <c r="B8" s="7">
        <v>756.8</v>
      </c>
      <c r="C8" s="7">
        <v>271.7</v>
      </c>
      <c r="D8" s="7">
        <v>706.3</v>
      </c>
    </row>
    <row r="9" spans="1:5" s="2" customFormat="1" ht="12" customHeight="1" x14ac:dyDescent="0.15">
      <c r="A9" s="2" t="s">
        <v>11</v>
      </c>
      <c r="B9" s="7">
        <v>608.4</v>
      </c>
      <c r="C9" s="7">
        <v>588.6</v>
      </c>
      <c r="D9" s="7">
        <v>153.9</v>
      </c>
    </row>
    <row r="10" spans="1:5" s="2" customFormat="1" ht="12" customHeight="1" x14ac:dyDescent="0.15">
      <c r="A10" s="2" t="s">
        <v>12</v>
      </c>
      <c r="B10" s="7">
        <v>416.2</v>
      </c>
      <c r="C10" s="7">
        <v>289.8</v>
      </c>
      <c r="D10" s="7">
        <v>298.8</v>
      </c>
    </row>
    <row r="11" spans="1:5" s="2" customFormat="1" ht="12" customHeight="1" x14ac:dyDescent="0.15">
      <c r="A11" s="2" t="s">
        <v>13</v>
      </c>
      <c r="B11" s="7">
        <v>81.5</v>
      </c>
      <c r="C11" s="7">
        <v>81.5</v>
      </c>
      <c r="D11" s="7">
        <v>0</v>
      </c>
    </row>
    <row r="12" spans="1:5" s="2" customFormat="1" ht="12" customHeight="1" x14ac:dyDescent="0.15">
      <c r="A12" s="2" t="s">
        <v>14</v>
      </c>
      <c r="B12" s="7">
        <v>257.60000000000002</v>
      </c>
      <c r="C12" s="7">
        <v>45.3</v>
      </c>
      <c r="D12" s="7">
        <v>253.5</v>
      </c>
    </row>
    <row r="13" spans="1:5" s="2" customFormat="1" ht="12" customHeight="1" x14ac:dyDescent="0.15">
      <c r="A13" s="2" t="s">
        <v>15</v>
      </c>
      <c r="B13" s="7">
        <v>409.1</v>
      </c>
      <c r="C13" s="7">
        <v>190.2</v>
      </c>
      <c r="D13" s="7">
        <v>362.2</v>
      </c>
    </row>
    <row r="14" spans="1:5" s="2" customFormat="1" ht="12" customHeight="1" x14ac:dyDescent="0.15">
      <c r="A14" s="2" t="s">
        <v>16</v>
      </c>
      <c r="B14" s="7">
        <v>116</v>
      </c>
      <c r="C14" s="7">
        <v>90.6</v>
      </c>
      <c r="D14" s="7">
        <v>72.400000000000006</v>
      </c>
    </row>
    <row r="15" spans="1:5" s="2" customFormat="1" ht="12" customHeight="1" x14ac:dyDescent="0.15">
      <c r="A15" s="2" t="s">
        <v>17</v>
      </c>
      <c r="B15" s="7">
        <v>474.1</v>
      </c>
      <c r="C15" s="7">
        <v>416.5</v>
      </c>
      <c r="D15" s="7">
        <v>226.4</v>
      </c>
    </row>
    <row r="16" spans="1:5" s="2" customFormat="1" ht="12" customHeight="1" x14ac:dyDescent="0.15">
      <c r="A16" s="2" t="s">
        <v>18</v>
      </c>
      <c r="B16" s="7">
        <v>424.3</v>
      </c>
      <c r="C16" s="7">
        <v>271.7</v>
      </c>
      <c r="D16" s="7">
        <v>326</v>
      </c>
    </row>
    <row r="17" spans="1:4" s="2" customFormat="1" ht="12" customHeight="1" x14ac:dyDescent="0.15">
      <c r="A17" s="2" t="s">
        <v>19</v>
      </c>
      <c r="B17" s="7">
        <v>129.69999999999999</v>
      </c>
      <c r="C17" s="7">
        <v>27.2</v>
      </c>
      <c r="D17" s="7">
        <v>126.8</v>
      </c>
    </row>
    <row r="18" spans="1:4" s="2" customFormat="1" ht="12" customHeight="1" x14ac:dyDescent="0.15">
      <c r="A18" s="2" t="s">
        <v>20</v>
      </c>
      <c r="B18" s="7">
        <v>1090.4000000000001</v>
      </c>
      <c r="C18" s="7">
        <v>579.5</v>
      </c>
      <c r="D18" s="7">
        <v>923.6</v>
      </c>
    </row>
    <row r="19" spans="1:4" s="2" customFormat="1" ht="12" customHeight="1" x14ac:dyDescent="0.15">
      <c r="A19" s="2" t="s">
        <v>21</v>
      </c>
      <c r="B19" s="7">
        <v>525.9</v>
      </c>
      <c r="C19" s="7">
        <v>525.20000000000005</v>
      </c>
      <c r="D19" s="7">
        <v>27.2</v>
      </c>
    </row>
    <row r="20" spans="1:4" s="2" customFormat="1" ht="12" customHeight="1" x14ac:dyDescent="0.15">
      <c r="A20" s="2" t="s">
        <v>22</v>
      </c>
      <c r="B20" s="7">
        <v>877.2</v>
      </c>
      <c r="C20" s="7">
        <v>869.3</v>
      </c>
      <c r="D20" s="7">
        <v>117.7</v>
      </c>
    </row>
    <row r="21" spans="1:4" s="2" customFormat="1" ht="12" customHeight="1" x14ac:dyDescent="0.15">
      <c r="A21" s="2" t="s">
        <v>23</v>
      </c>
      <c r="B21" s="7">
        <v>806.4</v>
      </c>
      <c r="C21" s="7">
        <v>172</v>
      </c>
      <c r="D21" s="7">
        <v>787.8</v>
      </c>
    </row>
    <row r="22" spans="1:4" s="2" customFormat="1" ht="12" customHeight="1" x14ac:dyDescent="0.15">
      <c r="A22" s="2" t="s">
        <v>24</v>
      </c>
      <c r="B22" s="7">
        <v>1215.5999999999999</v>
      </c>
      <c r="C22" s="7">
        <v>1213.4000000000001</v>
      </c>
      <c r="D22" s="7">
        <v>72.400000000000006</v>
      </c>
    </row>
    <row r="23" spans="1:4" s="2" customFormat="1" ht="12" customHeight="1" x14ac:dyDescent="0.15">
      <c r="A23" s="2" t="s">
        <v>25</v>
      </c>
      <c r="B23" s="7">
        <v>751.6</v>
      </c>
      <c r="C23" s="7">
        <v>389.4</v>
      </c>
      <c r="D23" s="7">
        <v>642.9</v>
      </c>
    </row>
    <row r="24" spans="1:4" s="2" customFormat="1" ht="12" customHeight="1" x14ac:dyDescent="0.15">
      <c r="A24" s="2" t="s">
        <v>26</v>
      </c>
      <c r="B24" s="7">
        <v>588.6</v>
      </c>
      <c r="C24" s="7">
        <v>507.1</v>
      </c>
      <c r="D24" s="7">
        <v>298.8</v>
      </c>
    </row>
    <row r="25" spans="1:4" s="2" customFormat="1" ht="12" customHeight="1" x14ac:dyDescent="0.15">
      <c r="A25" s="2" t="s">
        <v>27</v>
      </c>
      <c r="B25" s="7">
        <v>174.2</v>
      </c>
      <c r="C25" s="7">
        <v>153.9</v>
      </c>
      <c r="D25" s="7">
        <v>81.5</v>
      </c>
    </row>
    <row r="26" spans="1:4" s="2" customFormat="1" ht="12" customHeight="1" x14ac:dyDescent="0.15">
      <c r="A26" s="2" t="s">
        <v>28</v>
      </c>
      <c r="B26" s="7">
        <v>434.7</v>
      </c>
      <c r="C26" s="7">
        <v>434.7</v>
      </c>
      <c r="D26" s="7">
        <v>0</v>
      </c>
    </row>
    <row r="27" spans="1:4" s="2" customFormat="1" ht="12" customHeight="1" x14ac:dyDescent="0.15">
      <c r="A27" s="2" t="s">
        <v>29</v>
      </c>
      <c r="B27" s="7">
        <v>347.9</v>
      </c>
      <c r="C27" s="7">
        <v>271.7</v>
      </c>
      <c r="D27" s="7">
        <v>217.3</v>
      </c>
    </row>
    <row r="28" spans="1:4" s="2" customFormat="1" ht="12" customHeight="1" x14ac:dyDescent="0.15">
      <c r="A28" s="2" t="s">
        <v>30</v>
      </c>
      <c r="B28" s="7">
        <v>1043.7</v>
      </c>
      <c r="C28" s="7">
        <v>815</v>
      </c>
      <c r="D28" s="7">
        <v>652</v>
      </c>
    </row>
    <row r="29" spans="1:4" s="2" customFormat="1" ht="12" customHeight="1" x14ac:dyDescent="0.15">
      <c r="A29" s="2" t="s">
        <v>31</v>
      </c>
      <c r="B29" s="7">
        <v>1140</v>
      </c>
      <c r="C29" s="7">
        <v>570.5</v>
      </c>
      <c r="D29" s="7">
        <v>987</v>
      </c>
    </row>
    <row r="30" spans="1:4" s="2" customFormat="1" ht="12" customHeight="1" x14ac:dyDescent="0.15">
      <c r="A30" s="2" t="s">
        <v>32</v>
      </c>
      <c r="B30" s="7">
        <v>919.6</v>
      </c>
      <c r="C30" s="7">
        <v>833.1</v>
      </c>
      <c r="D30" s="7">
        <v>389.4</v>
      </c>
    </row>
    <row r="31" spans="1:4" s="2" customFormat="1" ht="12" customHeight="1" x14ac:dyDescent="0.15">
      <c r="A31" s="2" t="s">
        <v>33</v>
      </c>
      <c r="B31" s="7">
        <v>516.1</v>
      </c>
      <c r="C31" s="7">
        <v>516.1</v>
      </c>
      <c r="D31" s="7">
        <v>0</v>
      </c>
    </row>
    <row r="32" spans="1:4" s="2" customFormat="1" ht="12" customHeight="1" x14ac:dyDescent="0.15">
      <c r="A32" s="2" t="s">
        <v>34</v>
      </c>
      <c r="B32" s="7">
        <v>398.5</v>
      </c>
      <c r="C32" s="7">
        <v>398.4</v>
      </c>
      <c r="D32" s="7">
        <v>9.1</v>
      </c>
    </row>
    <row r="33" spans="1:5" s="2" customFormat="1" ht="12" customHeight="1" x14ac:dyDescent="0.15">
      <c r="A33" s="2" t="s">
        <v>35</v>
      </c>
      <c r="B33" s="7">
        <v>322.39999999999998</v>
      </c>
      <c r="C33" s="7">
        <v>199.2</v>
      </c>
      <c r="D33" s="7">
        <v>253.5</v>
      </c>
    </row>
    <row r="34" spans="1:5" s="2" customFormat="1" ht="12" customHeight="1" x14ac:dyDescent="0.15">
      <c r="A34" s="2" t="s">
        <v>36</v>
      </c>
      <c r="B34" s="7">
        <v>143.19999999999999</v>
      </c>
      <c r="C34" s="7">
        <v>45.3</v>
      </c>
      <c r="D34" s="7">
        <v>135.80000000000001</v>
      </c>
    </row>
    <row r="35" spans="1:5" s="2" customFormat="1" ht="12" customHeight="1" x14ac:dyDescent="0.15">
      <c r="A35" s="2" t="s">
        <v>37</v>
      </c>
      <c r="B35" s="7">
        <v>511.3</v>
      </c>
      <c r="C35" s="7">
        <v>470.9</v>
      </c>
      <c r="D35" s="7">
        <v>199.2</v>
      </c>
    </row>
    <row r="36" spans="1:5" s="2" customFormat="1" ht="12" customHeight="1" x14ac:dyDescent="0.15">
      <c r="A36" s="2" t="s">
        <v>38</v>
      </c>
      <c r="B36" s="7">
        <v>1690.2</v>
      </c>
      <c r="C36" s="7">
        <v>941.7</v>
      </c>
      <c r="D36" s="7">
        <v>1403.6</v>
      </c>
    </row>
    <row r="37" spans="1:5" s="2" customFormat="1" ht="12" customHeight="1" x14ac:dyDescent="0.15">
      <c r="A37" s="2" t="s">
        <v>39</v>
      </c>
      <c r="B37" s="7">
        <v>568.4</v>
      </c>
      <c r="C37" s="7">
        <v>489</v>
      </c>
      <c r="D37" s="7">
        <v>289.8</v>
      </c>
    </row>
    <row r="38" spans="1:5" s="3" customFormat="1" ht="12" customHeight="1" x14ac:dyDescent="0.15">
      <c r="A38" s="4" t="s">
        <v>40</v>
      </c>
      <c r="B38" s="8"/>
      <c r="C38" s="8"/>
      <c r="D38" s="8"/>
      <c r="E38" s="6"/>
    </row>
    <row r="39" spans="1:5" s="2" customFormat="1" ht="12" customHeight="1" x14ac:dyDescent="0.15">
      <c r="A39" s="2" t="s">
        <v>41</v>
      </c>
      <c r="B39" s="7">
        <f>MAX($B$3:$B$37)</f>
        <v>1690.2</v>
      </c>
      <c r="C39" s="7">
        <f>MAX($C$3:$C$37)</f>
        <v>1213.4000000000001</v>
      </c>
      <c r="D39" s="7">
        <f>MAX($D$3:$D$37)</f>
        <v>1403.6</v>
      </c>
      <c r="E39" s="1"/>
    </row>
    <row r="40" spans="1:5" s="2" customFormat="1" ht="12" customHeight="1" x14ac:dyDescent="0.15">
      <c r="A40" s="2" t="s">
        <v>42</v>
      </c>
      <c r="B40" s="9" t="s">
        <v>38</v>
      </c>
      <c r="C40" s="9" t="s">
        <v>24</v>
      </c>
      <c r="D40" s="9" t="s">
        <v>38</v>
      </c>
      <c r="E40" s="1"/>
    </row>
    <row r="41" spans="1:5" s="2" customFormat="1" ht="12" customHeight="1" x14ac:dyDescent="0.15">
      <c r="A41" s="2" t="s">
        <v>43</v>
      </c>
      <c r="B41" s="7">
        <f>MIN($B$3:$B$37)</f>
        <v>81.5</v>
      </c>
      <c r="C41" s="7">
        <f>MIN($C$3:$C$37)</f>
        <v>27.2</v>
      </c>
      <c r="D41" s="7">
        <f>MIN($D$3:$D$37)</f>
        <v>0</v>
      </c>
      <c r="E41" s="1"/>
    </row>
    <row r="42" spans="1:5" s="2" customFormat="1" ht="12" customHeight="1" x14ac:dyDescent="0.15">
      <c r="A42" s="2" t="s">
        <v>42</v>
      </c>
      <c r="B42" s="9" t="s">
        <v>13</v>
      </c>
      <c r="C42" s="9" t="s">
        <v>19</v>
      </c>
      <c r="D42" s="9" t="s">
        <v>13</v>
      </c>
      <c r="E42" s="1"/>
    </row>
    <row r="43" spans="1:5" s="2" customFormat="1" ht="12" customHeight="1" x14ac:dyDescent="0.15">
      <c r="A43" s="2" t="s">
        <v>44</v>
      </c>
      <c r="B43" s="7">
        <f>AVERAGE($B$3:$B$37)</f>
        <v>613.80285714285719</v>
      </c>
      <c r="C43" s="7">
        <f>AVERAGE($C$3:$C$37)</f>
        <v>448.62857142857149</v>
      </c>
      <c r="D43" s="7">
        <f>AVERAGE($D$3:$D$37)</f>
        <v>338.66</v>
      </c>
      <c r="E43" s="1"/>
    </row>
    <row r="44" spans="1:5" s="2" customFormat="1" ht="12" customHeight="1" x14ac:dyDescent="0.15">
      <c r="A44" s="2" t="s">
        <v>42</v>
      </c>
      <c r="B44" s="9" t="s">
        <v>45</v>
      </c>
      <c r="C44" s="9" t="s">
        <v>45</v>
      </c>
      <c r="D44" s="9" t="s">
        <v>45</v>
      </c>
      <c r="E44" s="1"/>
    </row>
    <row r="45" spans="1:5" s="2" customFormat="1" ht="12" customHeight="1" x14ac:dyDescent="0.15">
      <c r="A45" s="2" t="s">
        <v>46</v>
      </c>
      <c r="B45" s="7">
        <f>MEDIAN($B$3:$B$37)</f>
        <v>516.1</v>
      </c>
      <c r="C45" s="7">
        <f>MEDIAN($C$3:$C$37)</f>
        <v>434.7</v>
      </c>
      <c r="D45" s="7">
        <f>MEDIAN($D$3:$D$37)</f>
        <v>253.5</v>
      </c>
      <c r="E45" s="1"/>
    </row>
    <row r="46" spans="1:5" s="2" customFormat="1" ht="12" customHeight="1" x14ac:dyDescent="0.15">
      <c r="A46" s="2" t="s">
        <v>42</v>
      </c>
      <c r="B46" s="9" t="s">
        <v>45</v>
      </c>
      <c r="C46" s="9" t="s">
        <v>45</v>
      </c>
      <c r="D46" s="9" t="s">
        <v>45</v>
      </c>
      <c r="E46" s="1"/>
    </row>
    <row r="47" spans="1:5" s="2" customFormat="1" ht="12" customHeight="1" x14ac:dyDescent="0.15">
      <c r="A47" s="2" t="s">
        <v>47</v>
      </c>
      <c r="B47" s="7">
        <f>STDEV($B$3:$B$37)</f>
        <v>373.58125463562271</v>
      </c>
      <c r="C47" s="7">
        <f>STDEV($C$3:$C$37)</f>
        <v>302.03620212643051</v>
      </c>
      <c r="D47" s="7">
        <f>STDEV($D$3:$D$37)</f>
        <v>333.04615225132341</v>
      </c>
      <c r="E47" s="1"/>
    </row>
    <row r="48" spans="1:5" s="2" customFormat="1" ht="12" customHeight="1" x14ac:dyDescent="0.15">
      <c r="A48" s="2" t="s">
        <v>42</v>
      </c>
      <c r="B48" s="9" t="s">
        <v>45</v>
      </c>
      <c r="C48" s="9" t="s">
        <v>45</v>
      </c>
      <c r="D48" s="9" t="s">
        <v>45</v>
      </c>
      <c r="E48" s="1"/>
    </row>
    <row r="49" spans="1:4" s="2" customFormat="1" ht="12" customHeight="1" x14ac:dyDescent="0.15">
      <c r="A49" s="2" t="s">
        <v>48</v>
      </c>
      <c r="B49" s="7">
        <f>SUM($B$3:$B$37)</f>
        <v>21483.100000000002</v>
      </c>
      <c r="C49" s="7">
        <f>SUM($C$3:$C$37)</f>
        <v>15702.000000000002</v>
      </c>
      <c r="D49" s="7">
        <f>SUM($D$3:$D$37)</f>
        <v>11853.1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2019-06-07T18:00:09Z</dcterms:created>
  <dcterms:modified xsi:type="dcterms:W3CDTF">2019-06-07T18:03:28Z</dcterms:modified>
</cp:coreProperties>
</file>