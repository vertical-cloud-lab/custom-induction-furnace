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325"/>
  <workbookPr/>
  <mc:AlternateContent xmlns:mc="http://schemas.openxmlformats.org/markup-compatibility/2006">
    <mc:Choice Requires="x15">
      <x15ac:absPath xmlns:x15ac="http://schemas.microsoft.com/office/spreadsheetml/2010/11/ac" url="C:\Users\sterg\Box\Johnson\Optical\2001##_Ni4N5\200116_Ni4N5_011-015\"/>
    </mc:Choice>
  </mc:AlternateContent>
  <xr:revisionPtr revIDLastSave="0" documentId="13_ncr:1_{2D856A8F-FE2C-41C3-A8F1-7172EAE0AD23}" xr6:coauthVersionLast="45" xr6:coauthVersionMax="45" xr10:uidLastSave="{00000000-0000-0000-0000-000000000000}"/>
  <bookViews>
    <workbookView xWindow="-98" yWindow="-98" windowWidth="20715" windowHeight="13276" xr2:uid="{00000000-000D-0000-FFFF-FFFF00000000}"/>
  </bookViews>
  <sheets>
    <sheet name="Sheet1" sheetId="1" r:id="rId1"/>
  </sheets>
  <definedNames>
    <definedName name="_xlchart.v1.0" hidden="1">Sheet1!$I$1</definedName>
    <definedName name="_xlchart.v1.1" hidden="1">Sheet1!$I$2:$I$29</definedName>
    <definedName name="_xlchart.v1.2" hidden="1">Sheet1!$J$1</definedName>
    <definedName name="_xlchart.v1.3" hidden="1">Sheet1!$J$2:$J$30</definedName>
    <definedName name="_xlchart.v1.4" hidden="1">Sheet1!$K$1</definedName>
    <definedName name="_xlchart.v1.5" hidden="1">Sheet1!$K$2:$K$30</definedName>
    <definedName name="_xlchart.v1.6" hidden="1">Sheet1!$L$2:$L$29</definedName>
    <definedName name="_xlchart.v1.7" hidden="1">Sheet1!$L$2:$L$30</definedName>
  </definedNames>
  <calcPr calcId="191029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K10" i="1" l="1"/>
  <c r="J10" i="1"/>
  <c r="I10" i="1"/>
  <c r="K8" i="1" l="1"/>
  <c r="J8" i="1"/>
  <c r="I8" i="1"/>
  <c r="K32" i="1"/>
  <c r="J32" i="1"/>
  <c r="I32" i="1"/>
  <c r="K4" i="1"/>
  <c r="J4" i="1"/>
  <c r="I4" i="1"/>
  <c r="K2" i="1"/>
  <c r="J2" i="1"/>
  <c r="I2" i="1"/>
</calcChain>
</file>

<file path=xl/sharedStrings.xml><?xml version="1.0" encoding="utf-8"?>
<sst xmlns="http://schemas.openxmlformats.org/spreadsheetml/2006/main" count="26" uniqueCount="14">
  <si>
    <t>Largest</t>
  </si>
  <si>
    <t>Smallest</t>
  </si>
  <si>
    <t>Mean</t>
  </si>
  <si>
    <t>Median</t>
  </si>
  <si>
    <t>Std. Dev.</t>
  </si>
  <si>
    <t>Ni4N5_013</t>
  </si>
  <si>
    <t>s1</t>
  </si>
  <si>
    <t>s2</t>
  </si>
  <si>
    <t>Ni4N5_014</t>
  </si>
  <si>
    <t>Ni4N5_015</t>
  </si>
  <si>
    <t>Temperature (°C)</t>
  </si>
  <si>
    <t>Time (h)</t>
  </si>
  <si>
    <t>Ni4N5_012</t>
  </si>
  <si>
    <t>Ni4N5_021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</si>
</sst>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MS Sans Serif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0">
      <alignment vertical="top" wrapText="1"/>
      <protection locked="0"/>
    </xf>
  </cellStyleXfs>
  <cellXfs count="1">
    <xf numFmtId="0" fontId="0" fillId="0" borderId="0" xfId="0"/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Sheet1!$I$1</c:f>
              <c:strCache>
                <c:ptCount val="1"/>
                <c:pt idx="0">
                  <c:v>Mean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Sheet1!$L$2:$L$29</c:f>
              <c:numCache>
                <c:formatCode>General</c:formatCode>
                <c:ptCount val="28"/>
                <c:pt idx="0">
                  <c:v>1200</c:v>
                </c:pt>
                <c:pt idx="2">
                  <c:v>1250</c:v>
                </c:pt>
                <c:pt idx="6">
                  <c:v>1300</c:v>
                </c:pt>
                <c:pt idx="8">
                  <c:v>1400</c:v>
                </c:pt>
              </c:numCache>
            </c:numRef>
          </c:xVal>
          <c:yVal>
            <c:numRef>
              <c:f>Sheet1!$I$2:$I$29</c:f>
              <c:numCache>
                <c:formatCode>General</c:formatCode>
                <c:ptCount val="28"/>
                <c:pt idx="0">
                  <c:v>57.862765957446811</c:v>
                </c:pt>
                <c:pt idx="2">
                  <c:v>56.809294871794876</c:v>
                </c:pt>
                <c:pt idx="6">
                  <c:v>71.492666666666679</c:v>
                </c:pt>
                <c:pt idx="8">
                  <c:v>100.76237623762376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5D6-4EE8-89F7-6D4F4F50A217}"/>
            </c:ext>
          </c:extLst>
        </c:ser>
        <c:ser>
          <c:idx val="1"/>
          <c:order val="1"/>
          <c:tx>
            <c:strRef>
              <c:f>Sheet1!$J$1</c:f>
              <c:strCache>
                <c:ptCount val="1"/>
                <c:pt idx="0">
                  <c:v>Median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Sheet1!$L$2:$L$30</c:f>
              <c:numCache>
                <c:formatCode>General</c:formatCode>
                <c:ptCount val="29"/>
                <c:pt idx="0">
                  <c:v>1200</c:v>
                </c:pt>
                <c:pt idx="2">
                  <c:v>1250</c:v>
                </c:pt>
                <c:pt idx="6">
                  <c:v>1300</c:v>
                </c:pt>
                <c:pt idx="8">
                  <c:v>1400</c:v>
                </c:pt>
              </c:numCache>
            </c:numRef>
          </c:xVal>
          <c:yVal>
            <c:numRef>
              <c:f>Sheet1!$J$2:$J$30</c:f>
              <c:numCache>
                <c:formatCode>General</c:formatCode>
                <c:ptCount val="29"/>
                <c:pt idx="0">
                  <c:v>49.1</c:v>
                </c:pt>
                <c:pt idx="2">
                  <c:v>51.075000000000003</c:v>
                </c:pt>
                <c:pt idx="6">
                  <c:v>64</c:v>
                </c:pt>
                <c:pt idx="8">
                  <c:v>94.7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5D6-4EE8-89F7-6D4F4F50A217}"/>
            </c:ext>
          </c:extLst>
        </c:ser>
        <c:ser>
          <c:idx val="2"/>
          <c:order val="2"/>
          <c:tx>
            <c:strRef>
              <c:f>Sheet1!$K$1</c:f>
              <c:strCache>
                <c:ptCount val="1"/>
                <c:pt idx="0">
                  <c:v>Std. Dev.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Sheet1!$L$2:$L$30</c:f>
              <c:numCache>
                <c:formatCode>General</c:formatCode>
                <c:ptCount val="29"/>
                <c:pt idx="0">
                  <c:v>1200</c:v>
                </c:pt>
                <c:pt idx="2">
                  <c:v>1250</c:v>
                </c:pt>
                <c:pt idx="6">
                  <c:v>1300</c:v>
                </c:pt>
                <c:pt idx="8">
                  <c:v>1400</c:v>
                </c:pt>
              </c:numCache>
            </c:numRef>
          </c:xVal>
          <c:yVal>
            <c:numRef>
              <c:f>Sheet1!$K$2:$K$30</c:f>
              <c:numCache>
                <c:formatCode>General</c:formatCode>
                <c:ptCount val="29"/>
                <c:pt idx="0">
                  <c:v>34.349721400622784</c:v>
                </c:pt>
                <c:pt idx="2">
                  <c:v>29.168437589327549</c:v>
                </c:pt>
                <c:pt idx="6">
                  <c:v>36.603947848105314</c:v>
                </c:pt>
                <c:pt idx="8">
                  <c:v>43.508619857365559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5D6-4EE8-89F7-6D4F4F50A2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77170816"/>
        <c:axId val="483105008"/>
      </c:scatterChart>
      <c:valAx>
        <c:axId val="3771708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strRef>
              <c:f>Sheet1!$L$1</c:f>
              <c:strCache>
                <c:ptCount val="1"/>
                <c:pt idx="0">
                  <c:v>Temperature (°C)</c:v>
                </c:pt>
              </c:strCache>
            </c:strRef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3105008"/>
        <c:crosses val="autoZero"/>
        <c:crossBetween val="midCat"/>
      </c:valAx>
      <c:valAx>
        <c:axId val="4831050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grain</a:t>
                </a:r>
                <a:r>
                  <a:rPr lang="en-US" baseline="0"/>
                  <a:t> size </a:t>
                </a:r>
                <a:r>
                  <a:rPr lang="en-US"/>
                  <a:t>(µm)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717081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438150</xdr:colOff>
      <xdr:row>12</xdr:row>
      <xdr:rowOff>9525</xdr:rowOff>
    </xdr:from>
    <xdr:to>
      <xdr:col>11</xdr:col>
      <xdr:colOff>171450</xdr:colOff>
      <xdr:row>26</xdr:row>
      <xdr:rowOff>85725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13</xdr:col>
      <xdr:colOff>0</xdr:colOff>
      <xdr:row>13</xdr:row>
      <xdr:rowOff>0</xdr:rowOff>
    </xdr:from>
    <xdr:to>
      <xdr:col>20</xdr:col>
      <xdr:colOff>398191</xdr:colOff>
      <xdr:row>27</xdr:row>
      <xdr:rowOff>87857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1BC94B6-501A-4651-9E87-2E185C5122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034463" y="2352675"/>
          <a:ext cx="4932091" cy="262150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3"/>
  <sheetViews>
    <sheetView tabSelected="1" topLeftCell="E3" workbookViewId="0">
      <selection activeCell="O7" sqref="O7"/>
    </sheetView>
  </sheetViews>
  <sheetFormatPr defaultRowHeight="14.25" x14ac:dyDescent="0.45"/>
  <cols>
    <col min="1" max="1" width="10.3984375" bestFit="1" customWidth="1"/>
    <col min="2" max="2" width="2.86328125" bestFit="1" customWidth="1"/>
    <col min="3" max="3" width="7.265625" bestFit="1" customWidth="1"/>
    <col min="4" max="4" width="8.59765625" bestFit="1" customWidth="1"/>
    <col min="5" max="5" width="12" bestFit="1" customWidth="1"/>
    <col min="6" max="6" width="7.73046875" bestFit="1" customWidth="1"/>
    <col min="7" max="7" width="12" bestFit="1" customWidth="1"/>
    <col min="9" max="9" width="12" bestFit="1" customWidth="1"/>
    <col min="10" max="10" width="7.73046875" bestFit="1" customWidth="1"/>
    <col min="11" max="11" width="12" bestFit="1" customWidth="1"/>
    <col min="12" max="12" width="16.3984375" bestFit="1" customWidth="1"/>
    <col min="13" max="13" width="8.3984375" bestFit="1" customWidth="1"/>
  </cols>
  <sheetData>
    <row r="1" spans="1:13" x14ac:dyDescent="0.45">
      <c r="C1" t="s">
        <v>0</v>
      </c>
      <c r="D1" t="s">
        <v>1</v>
      </c>
      <c r="E1" t="s">
        <v>2</v>
      </c>
      <c r="F1" t="s">
        <v>3</v>
      </c>
      <c r="G1" t="s">
        <v>4</v>
      </c>
      <c r="I1" t="s">
        <v>2</v>
      </c>
      <c r="J1" t="s">
        <v>3</v>
      </c>
      <c r="K1" t="s">
        <v>4</v>
      </c>
      <c r="L1" t="s">
        <v>10</v>
      </c>
      <c r="M1" t="s">
        <v>11</v>
      </c>
    </row>
    <row r="2" spans="1:13" x14ac:dyDescent="0.45">
      <c r="A2" t="s">
        <v>12</v>
      </c>
      <c r="B2" t="s">
        <v>6</v>
      </c>
      <c r="C2">
        <v>198.2</v>
      </c>
      <c r="D2">
        <v>7.9</v>
      </c>
      <c r="E2">
        <v>66.204255319148942</v>
      </c>
      <c r="F2">
        <v>56.75</v>
      </c>
      <c r="G2">
        <v>38.382444225300489</v>
      </c>
      <c r="I2">
        <f>AVERAGE(E2,E3)</f>
        <v>57.862765957446811</v>
      </c>
      <c r="J2">
        <f>AVERAGE(F2,F3)</f>
        <v>49.1</v>
      </c>
      <c r="K2">
        <f>AVERAGE(G2,G3)</f>
        <v>34.349721400622784</v>
      </c>
      <c r="L2">
        <v>1200</v>
      </c>
      <c r="M2">
        <v>1</v>
      </c>
    </row>
    <row r="3" spans="1:13" x14ac:dyDescent="0.45">
      <c r="B3" t="s">
        <v>7</v>
      </c>
      <c r="C3">
        <v>138.69999999999999</v>
      </c>
      <c r="D3">
        <v>9.3000000000000007</v>
      </c>
      <c r="E3">
        <v>49.521276595744673</v>
      </c>
      <c r="F3">
        <v>41.45</v>
      </c>
      <c r="G3">
        <v>30.316998575945082</v>
      </c>
    </row>
    <row r="4" spans="1:13" x14ac:dyDescent="0.45">
      <c r="A4" t="s">
        <v>5</v>
      </c>
      <c r="B4" t="s">
        <v>6</v>
      </c>
      <c r="C4">
        <v>154.30000000000001</v>
      </c>
      <c r="D4">
        <v>15.5</v>
      </c>
      <c r="E4">
        <v>58.051923076923082</v>
      </c>
      <c r="F4">
        <v>52.5</v>
      </c>
      <c r="G4">
        <v>31.290670728839178</v>
      </c>
      <c r="I4">
        <f>AVERAGE(E4,E5)</f>
        <v>56.809294871794876</v>
      </c>
      <c r="J4">
        <f>AVERAGE(F4,F5)</f>
        <v>51.075000000000003</v>
      </c>
      <c r="K4">
        <f>AVERAGE(G4,G5)</f>
        <v>29.168437589327549</v>
      </c>
      <c r="L4">
        <v>1250</v>
      </c>
      <c r="M4">
        <v>1</v>
      </c>
    </row>
    <row r="5" spans="1:13" x14ac:dyDescent="0.45">
      <c r="B5" t="s">
        <v>7</v>
      </c>
      <c r="C5">
        <v>124.7</v>
      </c>
      <c r="D5">
        <v>14.2</v>
      </c>
      <c r="E5">
        <v>55.56666666666667</v>
      </c>
      <c r="F5">
        <v>49.650000000000006</v>
      </c>
      <c r="G5">
        <v>27.046204449815921</v>
      </c>
    </row>
    <row r="8" spans="1:13" x14ac:dyDescent="0.45">
      <c r="A8" t="s">
        <v>9</v>
      </c>
      <c r="B8" t="s">
        <v>6</v>
      </c>
      <c r="C8">
        <v>208.6</v>
      </c>
      <c r="D8">
        <v>20.2</v>
      </c>
      <c r="E8">
        <v>72.02</v>
      </c>
      <c r="F8">
        <v>57.6</v>
      </c>
      <c r="G8">
        <v>43.625635246181965</v>
      </c>
      <c r="I8">
        <f>AVERAGE(E8,E9)</f>
        <v>71.492666666666679</v>
      </c>
      <c r="J8">
        <f>AVERAGE(F8,F9)</f>
        <v>64</v>
      </c>
      <c r="K8">
        <f>AVERAGE(G8,G9)</f>
        <v>36.603947848105314</v>
      </c>
      <c r="L8">
        <v>1300</v>
      </c>
      <c r="M8">
        <v>1</v>
      </c>
    </row>
    <row r="9" spans="1:13" x14ac:dyDescent="0.45">
      <c r="B9" t="s">
        <v>7</v>
      </c>
      <c r="C9">
        <v>183.1</v>
      </c>
      <c r="D9">
        <v>1.6</v>
      </c>
      <c r="E9">
        <v>70.965333333333348</v>
      </c>
      <c r="F9">
        <v>70.400000000000006</v>
      </c>
      <c r="G9">
        <v>29.582260450028663</v>
      </c>
    </row>
    <row r="10" spans="1:13" x14ac:dyDescent="0.45">
      <c r="A10" t="s">
        <v>13</v>
      </c>
      <c r="B10" t="s">
        <v>6</v>
      </c>
      <c r="C10">
        <v>236.8</v>
      </c>
      <c r="D10">
        <v>4.9000000000000004</v>
      </c>
      <c r="E10">
        <v>104.7</v>
      </c>
      <c r="F10">
        <v>97.9</v>
      </c>
      <c r="G10">
        <v>44.9</v>
      </c>
      <c r="I10">
        <f>AVERAGE(E10,E11)</f>
        <v>100.76237623762376</v>
      </c>
      <c r="J10">
        <f>AVERAGE(F10,F11)</f>
        <v>94.7</v>
      </c>
      <c r="K10">
        <f>AVERAGE(G10,G11)</f>
        <v>43.508619857365559</v>
      </c>
      <c r="L10">
        <v>1400</v>
      </c>
      <c r="M10">
        <v>1</v>
      </c>
    </row>
    <row r="11" spans="1:13" x14ac:dyDescent="0.45">
      <c r="A11" t="s">
        <v>13</v>
      </c>
      <c r="B11" t="s">
        <v>7</v>
      </c>
      <c r="C11">
        <v>227</v>
      </c>
      <c r="D11">
        <v>6.4</v>
      </c>
      <c r="E11">
        <v>96.824752475247493</v>
      </c>
      <c r="F11">
        <v>91.5</v>
      </c>
      <c r="G11">
        <v>42.117239714731113</v>
      </c>
    </row>
    <row r="32" spans="1:13" x14ac:dyDescent="0.45">
      <c r="A32" t="s">
        <v>8</v>
      </c>
      <c r="B32" t="s">
        <v>6</v>
      </c>
      <c r="C32">
        <v>228.7</v>
      </c>
      <c r="D32">
        <v>25.4</v>
      </c>
      <c r="E32">
        <v>92.858333333333348</v>
      </c>
      <c r="F32">
        <v>87.300000000000011</v>
      </c>
      <c r="G32">
        <v>40.760774978355776</v>
      </c>
      <c r="I32">
        <f>AVERAGE(E32,E33)</f>
        <v>94.461309523809518</v>
      </c>
      <c r="J32">
        <f>AVERAGE(F32,F33)</f>
        <v>88.575000000000003</v>
      </c>
      <c r="K32">
        <f>AVERAGE(G32,G33)</f>
        <v>47.771889868518144</v>
      </c>
      <c r="L32">
        <v>1300</v>
      </c>
      <c r="M32">
        <v>1</v>
      </c>
    </row>
    <row r="33" spans="2:7" x14ac:dyDescent="0.45">
      <c r="B33" t="s">
        <v>7</v>
      </c>
      <c r="C33">
        <v>257.7</v>
      </c>
      <c r="D33">
        <v>13.2</v>
      </c>
      <c r="E33">
        <v>96.064285714285703</v>
      </c>
      <c r="F33">
        <v>89.85</v>
      </c>
      <c r="G33">
        <v>54.783004758680519</v>
      </c>
    </row>
  </sheetData>
  <pageMargins left="0.7" right="0.7" top="0.75" bottom="0.75" header="0.3" footer="0.3"/>
  <pageSetup orientation="portrait" horizontalDpi="1200" verticalDpi="12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</dc:creator>
  <cp:lastModifiedBy>Sterling Baird</cp:lastModifiedBy>
  <dcterms:created xsi:type="dcterms:W3CDTF">2020-01-17T00:12:38Z</dcterms:created>
  <dcterms:modified xsi:type="dcterms:W3CDTF">2020-01-27T23:02:42Z</dcterms:modified>
</cp:coreProperties>
</file>